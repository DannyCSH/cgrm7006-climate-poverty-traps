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ri0032/Dropbox/World Bank/Temperature, poverty, and inequality/Estimations/_2025_11_10/_data/"/>
    </mc:Choice>
  </mc:AlternateContent>
  <xr:revisionPtr revIDLastSave="0" documentId="13_ncr:1_{60DDA470-D538-A442-93BB-B422D3D2313E}" xr6:coauthVersionLast="47" xr6:coauthVersionMax="47" xr10:uidLastSave="{00000000-0000-0000-0000-000000000000}"/>
  <bookViews>
    <workbookView xWindow="30240" yWindow="-1960" windowWidth="38400" windowHeight="21600" activeTab="4" xr2:uid="{DF9606E8-CC8F-B44A-87F5-881DAE7C8FEF}"/>
  </bookViews>
  <sheets>
    <sheet name="Fig_1" sheetId="1" r:id="rId1"/>
    <sheet name="Fig_2" sheetId="2" r:id="rId2"/>
    <sheet name="Fig_3" sheetId="3" r:id="rId3"/>
    <sheet name="Fig_4a" sheetId="4" r:id="rId4"/>
    <sheet name="Fig_4b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  <c r="H12" i="2"/>
</calcChain>
</file>

<file path=xl/sharedStrings.xml><?xml version="1.0" encoding="utf-8"?>
<sst xmlns="http://schemas.openxmlformats.org/spreadsheetml/2006/main" count="821" uniqueCount="368">
  <si>
    <t>code</t>
  </si>
  <si>
    <t>geo_name</t>
  </si>
  <si>
    <t>geo_code</t>
  </si>
  <si>
    <t>gini</t>
  </si>
  <si>
    <t>IDN</t>
  </si>
  <si>
    <t>Nangroe Aceh Darussalam</t>
  </si>
  <si>
    <t>IDN_2015_GAUL1_1512</t>
  </si>
  <si>
    <t>Bali</t>
  </si>
  <si>
    <t>IDN_2015_GAUL1_1513</t>
  </si>
  <si>
    <t>Bengkulu</t>
  </si>
  <si>
    <t>IDN_2015_GAUL1_1514</t>
  </si>
  <si>
    <t>Daerah Istimewa Yogyakarta</t>
  </si>
  <si>
    <t>IDN_2015_GAUL1_1515</t>
  </si>
  <si>
    <t>Dki Jakarta</t>
  </si>
  <si>
    <t>IDN_2015_GAUL1_1516</t>
  </si>
  <si>
    <t>Jambi</t>
  </si>
  <si>
    <t>IDN_2015_GAUL1_1518</t>
  </si>
  <si>
    <t>Jawa Tengah</t>
  </si>
  <si>
    <t>IDN_2015_GAUL1_1520</t>
  </si>
  <si>
    <t>Jawa Timur</t>
  </si>
  <si>
    <t>IDN_2015_GAUL1_1521</t>
  </si>
  <si>
    <t>Kalimantan Barat</t>
  </si>
  <si>
    <t>IDN_2015_GAUL1_1522</t>
  </si>
  <si>
    <t>Kalimantan Selatan</t>
  </si>
  <si>
    <t>IDN_2015_GAUL1_1523</t>
  </si>
  <si>
    <t>Kalimantan Tengah</t>
  </si>
  <si>
    <t>IDN_2015_GAUL1_1524</t>
  </si>
  <si>
    <t>Kalimantan Timur</t>
  </si>
  <si>
    <t>IDN_2015_GAUL1_1525</t>
  </si>
  <si>
    <t>Lampung</t>
  </si>
  <si>
    <t>IDN_2015_GAUL1_1526</t>
  </si>
  <si>
    <t>Nusatenggara Barat</t>
  </si>
  <si>
    <t>IDN_2015_GAUL1_1528</t>
  </si>
  <si>
    <t>Nusatenggara Timur</t>
  </si>
  <si>
    <t>IDN_2015_GAUL1_1529</t>
  </si>
  <si>
    <t>Sulawesi Tengah</t>
  </si>
  <si>
    <t>IDN_2015_GAUL1_1532</t>
  </si>
  <si>
    <t>Sulawesi Tenggara</t>
  </si>
  <si>
    <t>IDN_2015_GAUL1_1533</t>
  </si>
  <si>
    <t>Sumatera Barat</t>
  </si>
  <si>
    <t>IDN_2015_GAUL1_1535</t>
  </si>
  <si>
    <t>Sumatera Utara</t>
  </si>
  <si>
    <t>IDN_2015_GAUL1_1537</t>
  </si>
  <si>
    <t>Bangka Belitung</t>
  </si>
  <si>
    <t>IDN_2015_GAUL1_73609</t>
  </si>
  <si>
    <t>Banten</t>
  </si>
  <si>
    <t>IDN_2015_GAUL1_73610</t>
  </si>
  <si>
    <t>Gorontalo</t>
  </si>
  <si>
    <t>IDN_2015_GAUL1_73611</t>
  </si>
  <si>
    <t>Papua Barat</t>
  </si>
  <si>
    <t>IDN_2015_GAUL1_73612</t>
  </si>
  <si>
    <t>Jawa Barat</t>
  </si>
  <si>
    <t>IDN_2015_GAUL1_73613</t>
  </si>
  <si>
    <t>Kepulauan-riau</t>
  </si>
  <si>
    <t>IDN_2015_GAUL1_73614</t>
  </si>
  <si>
    <t>Maluku</t>
  </si>
  <si>
    <t>IDN_2015_GAUL1_73615</t>
  </si>
  <si>
    <t>Maluku Utara</t>
  </si>
  <si>
    <t>IDN_2015_GAUL1_73616</t>
  </si>
  <si>
    <t>Papua</t>
  </si>
  <si>
    <t>IDN_2015_GAUL1_73617</t>
  </si>
  <si>
    <t>Riau</t>
  </si>
  <si>
    <t>IDN_2015_GAUL1_73618</t>
  </si>
  <si>
    <t>Sulawesi Barat</t>
  </si>
  <si>
    <t>IDN_2015_GAUL1_73619</t>
  </si>
  <si>
    <t>Sulawesi Selatan</t>
  </si>
  <si>
    <t>IDN_2015_GAUL1_73620</t>
  </si>
  <si>
    <t>Sulawesi Utara</t>
  </si>
  <si>
    <t>IDN_2015_GAUL1_73621</t>
  </si>
  <si>
    <t>Sumatera Selatan</t>
  </si>
  <si>
    <t>IDN_2015_GAUL1_73622</t>
  </si>
  <si>
    <t>poverty</t>
  </si>
  <si>
    <t>inequality</t>
  </si>
  <si>
    <t>temperature</t>
  </si>
  <si>
    <t>level</t>
  </si>
  <si>
    <t>model</t>
  </si>
  <si>
    <t>outcome</t>
  </si>
  <si>
    <t>b</t>
  </si>
  <si>
    <t>se</t>
  </si>
  <si>
    <t>lb</t>
  </si>
  <si>
    <t>ub</t>
  </si>
  <si>
    <t>p</t>
  </si>
  <si>
    <t>Country</t>
  </si>
  <si>
    <t>FE</t>
  </si>
  <si>
    <t>$2.15/day</t>
  </si>
  <si>
    <t>$3.65/day</t>
  </si>
  <si>
    <t>$6.85/day</t>
  </si>
  <si>
    <t>theil</t>
  </si>
  <si>
    <t>LD</t>
  </si>
  <si>
    <t>Subnational</t>
  </si>
  <si>
    <t>estimate</t>
  </si>
  <si>
    <t>poor</t>
  </si>
  <si>
    <t>Lower-income countries</t>
  </si>
  <si>
    <t>Higher-income countries</t>
  </si>
  <si>
    <t>type</t>
  </si>
  <si>
    <t>&lt;0</t>
  </si>
  <si>
    <t>[3,6)</t>
  </si>
  <si>
    <t>[0,3)</t>
  </si>
  <si>
    <t>[6,9)</t>
  </si>
  <si>
    <t>[9,12)</t>
  </si>
  <si>
    <t>[12,15)</t>
  </si>
  <si>
    <t>[15,18)</t>
  </si>
  <si>
    <t>[18,21)</t>
  </si>
  <si>
    <t>[21,24)</t>
  </si>
  <si>
    <t>[24,27)</t>
  </si>
  <si>
    <t>[27,30)</t>
  </si>
  <si>
    <t>[30,33)</t>
  </si>
  <si>
    <t>33+</t>
  </si>
  <si>
    <t>bin</t>
  </si>
  <si>
    <t>Headcount poverty</t>
  </si>
  <si>
    <t>Gini</t>
  </si>
  <si>
    <t>country_name</t>
  </si>
  <si>
    <t>GDP</t>
  </si>
  <si>
    <t>Angola</t>
  </si>
  <si>
    <t>AGO</t>
  </si>
  <si>
    <t>Albania</t>
  </si>
  <si>
    <t>ALB</t>
  </si>
  <si>
    <t>Armenia</t>
  </si>
  <si>
    <t>ARM</t>
  </si>
  <si>
    <t>Australia</t>
  </si>
  <si>
    <t>AUS</t>
  </si>
  <si>
    <t>Austria</t>
  </si>
  <si>
    <t>AUT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</si>
  <si>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</si>
  <si>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</si>
  <si>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</si>
  <si>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</si>
  <si>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</si>
  <si>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</si>
  <si>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</si>
  <si>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</si>
  <si>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</si>
  <si>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</si>
  <si>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Belarus</t>
  </si>
  <si>
    <t>BLR</t>
  </si>
  <si>
    <t>Bolivia</t>
  </si>
  <si>
    <t>BOL</t>
  </si>
  <si>
    <t>Brazil</t>
  </si>
  <si>
    <t>BRA</t>
  </si>
  <si>
    <t>Bhutan</t>
  </si>
  <si>
    <t>BTN</t>
  </si>
  <si>
    <t>Botswana</t>
  </si>
  <si>
    <t>BWA</t>
  </si>
  <si>
    <t>Canada</t>
  </si>
  <si>
    <t>CAN</t>
  </si>
  <si>
    <t>Switzerland</t>
  </si>
  <si>
    <t>CHE</t>
  </si>
  <si>
    <t>Chile</t>
  </si>
  <si>
    <t>CHL</t>
  </si>
  <si>
    <t>Cote de ivory</t>
  </si>
  <si>
    <t>CIV</t>
  </si>
  <si>
    <t>Cameroon</t>
  </si>
  <si>
    <t>CMR</t>
  </si>
  <si>
    <t>Congo (Dem. Rep.)</t>
  </si>
  <si>
    <t>COD</t>
  </si>
  <si>
    <t>Colombia</t>
  </si>
  <si>
    <t>COL</t>
  </si>
  <si>
    <t>Costa Rica</t>
  </si>
  <si>
    <t>CRI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</si>
  <si>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</si>
  <si>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</si>
  <si>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</si>
  <si>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</si>
  <si>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</si>
  <si>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</si>
  <si>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</si>
  <si>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</si>
  <si>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</si>
  <si>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</si>
  <si>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Rep.</t>
  </si>
  <si>
    <t>DOM</t>
  </si>
  <si>
    <t>Egypt</t>
  </si>
  <si>
    <t>EGY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</si>
  <si>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</si>
  <si>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</si>
  <si>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</si>
  <si>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</si>
  <si>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</si>
  <si>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</si>
  <si>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</si>
  <si>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</si>
  <si>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</si>
  <si>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</si>
  <si>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</si>
  <si>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</si>
  <si>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</si>
  <si>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</si>
  <si>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</si>
  <si>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</si>
  <si>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</si>
  <si>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</si>
  <si>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</si>
  <si>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</si>
  <si>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</t>
  </si>
  <si>
    <t>GMB</t>
  </si>
  <si>
    <t>Guinea-Bissau</t>
  </si>
  <si>
    <t>GNB</t>
  </si>
  <si>
    <t>Greece</t>
  </si>
  <si>
    <t>GRC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</si>
  <si>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</si>
  <si>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</si>
  <si>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</si>
  <si>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</si>
  <si>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</si>
  <si>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</si>
  <si>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</si>
  <si>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</si>
  <si>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</si>
  <si>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Ireland</t>
  </si>
  <si>
    <t>IRL</t>
  </si>
  <si>
    <t>Iran (I.R.)</t>
  </si>
  <si>
    <t>IRN</t>
  </si>
  <si>
    <t>Iceland</t>
  </si>
  <si>
    <t>ISL</t>
  </si>
  <si>
    <t>Israel</t>
  </si>
  <si>
    <t>ISR</t>
  </si>
  <si>
    <t>Italy</t>
  </si>
  <si>
    <t>ITA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</si>
  <si>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</si>
  <si>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</si>
  <si>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</si>
  <si>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</si>
  <si>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</si>
  <si>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</si>
  <si>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</si>
  <si>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</si>
  <si>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Kyrgyzstan</t>
  </si>
  <si>
    <t>KGZ</t>
  </si>
  <si>
    <t>Lao P.D.R.</t>
  </si>
  <si>
    <t>LAO</t>
  </si>
  <si>
    <t>Lebanon</t>
  </si>
  <si>
    <t>LBN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</si>
  <si>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</si>
  <si>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</si>
  <si>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</si>
  <si>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</si>
  <si>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</si>
  <si>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</si>
  <si>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</si>
  <si>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</si>
  <si>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</si>
  <si>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</si>
  <si>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</si>
  <si>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</si>
  <si>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</si>
  <si>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</si>
  <si>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</si>
  <si>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</si>
  <si>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</si>
  <si>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</si>
  <si>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</si>
  <si>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</si>
  <si>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</si>
  <si>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</si>
  <si>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</si>
  <si>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</si>
  <si>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</si>
  <si>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</si>
  <si>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</si>
  <si>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</si>
  <si>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</si>
  <si>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</si>
  <si>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</si>
  <si>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</si>
  <si>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</si>
  <si>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</si>
  <si>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</si>
  <si>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</si>
  <si>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</si>
  <si>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</si>
  <si>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</si>
  <si>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</si>
  <si>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</si>
  <si>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</si>
  <si>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</si>
  <si>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</si>
  <si>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Nigeria</t>
  </si>
  <si>
    <t>NGA</t>
  </si>
  <si>
    <t>Netherlands</t>
  </si>
  <si>
    <t>NLD</t>
  </si>
  <si>
    <t>Norway</t>
  </si>
  <si>
    <t>NOR</t>
  </si>
  <si>
    <t>Nepal</t>
  </si>
  <si>
    <t>NPL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</si>
  <si>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</si>
  <si>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</si>
  <si>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</si>
  <si>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</si>
  <si>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</si>
  <si>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</si>
  <si>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</si>
  <si>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</si>
  <si>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</si>
  <si>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</si>
  <si>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</si>
  <si>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</si>
  <si>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Paraguay</t>
  </si>
  <si>
    <t>PRY</t>
  </si>
  <si>
    <t>Romania</t>
  </si>
  <si>
    <t>ROU</t>
  </si>
  <si>
    <t>Russian Federation</t>
  </si>
  <si>
    <t>RUS</t>
  </si>
  <si>
    <t>Rwanda</t>
  </si>
  <si>
    <t>RWA</t>
  </si>
  <si>
    <t>Sudan</t>
  </si>
  <si>
    <t>SDN</t>
  </si>
  <si>
    <t>Senegal</t>
  </si>
  <si>
    <t>SEN</t>
  </si>
  <si>
    <t>Solomon Islands</t>
  </si>
  <si>
    <t>SLB</t>
  </si>
  <si>
    <t>El Salvador</t>
  </si>
  <si>
    <t>SLV</t>
  </si>
  <si>
    <t>Slovakia</t>
  </si>
  <si>
    <t>SVK</t>
  </si>
  <si>
    <t>Slovenia</t>
  </si>
  <si>
    <t>SVN</t>
  </si>
  <si>
    <t>Sweden</t>
  </si>
  <si>
    <t>SWE</t>
  </si>
  <si>
    <t>Togo</t>
  </si>
  <si>
    <t>TGO</t>
  </si>
  <si>
    <t>Thailand</t>
  </si>
  <si>
    <t>THA</t>
  </si>
  <si>
    <t>Tonga</t>
  </si>
  <si>
    <t>TON</t>
  </si>
  <si>
    <t>Tunisia</t>
  </si>
  <si>
    <t>TUN</t>
  </si>
  <si>
    <t>Tanzania</t>
  </si>
  <si>
    <t>TZA</t>
  </si>
  <si>
    <t>Uganda</t>
  </si>
  <si>
    <t>UGA</t>
  </si>
  <si>
    <t>Ukraine</t>
  </si>
  <si>
    <t>UKR</t>
  </si>
  <si>
    <t>United States</t>
  </si>
  <si>
    <t>USA</t>
  </si>
  <si>
    <t>Viet Nam</t>
  </si>
  <si>
    <t>VNM</t>
  </si>
  <si>
    <t>Vanuatu</t>
  </si>
  <si>
    <t>VUT</t>
  </si>
  <si>
    <t>South Africa</t>
  </si>
  <si>
    <t>ZAF</t>
  </si>
  <si>
    <t>Zambia</t>
  </si>
  <si>
    <t>ZMB</t>
  </si>
  <si>
    <t>Zimbabwe</t>
  </si>
  <si>
    <t>ZWE</t>
  </si>
  <si>
    <t>Azerbaijan</t>
  </si>
  <si>
    <t>AZE</t>
  </si>
  <si>
    <t>Bosnia and Herzegovina</t>
  </si>
  <si>
    <t>BIH</t>
  </si>
  <si>
    <t>COG</t>
  </si>
  <si>
    <t>CPV</t>
  </si>
  <si>
    <t>IRQ</t>
  </si>
  <si>
    <t>NER</t>
  </si>
  <si>
    <t>PNG</t>
  </si>
  <si>
    <t>PSE</t>
  </si>
  <si>
    <t>SLE</t>
  </si>
  <si>
    <t>SWZ</t>
  </si>
  <si>
    <t>TJK</t>
  </si>
  <si>
    <t>TLS</t>
  </si>
  <si>
    <t>Republic of the Congo</t>
  </si>
  <si>
    <t>Cape Verde</t>
  </si>
  <si>
    <t>Iraq</t>
  </si>
  <si>
    <t>Niger</t>
  </si>
  <si>
    <t>Papua New Guinea</t>
  </si>
  <si>
    <t>Palestine</t>
  </si>
  <si>
    <t>Sierra Leone</t>
  </si>
  <si>
    <t>Eswatini</t>
  </si>
  <si>
    <t>Tajikistan</t>
  </si>
  <si>
    <t>Timor-Leste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</si>
</sst>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52C0-045B-8F45-BC81-B417DB8C5124}">
  <dimension ref="A1:F34"/>
  <sheetViews>
    <sheetView zoomScale="150" workbookViewId="0">
      <selection activeCell="G5" sqref="G5"/>
    </sheetView>
  </sheetViews>
  <sheetFormatPr baseColWidth="10" defaultRowHeight="16" x14ac:dyDescent="0.2"/>
  <cols>
    <col min="3" max="3" width="21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71</v>
      </c>
      <c r="E1" t="s">
        <v>72</v>
      </c>
      <c r="F1" t="s">
        <v>73</v>
      </c>
    </row>
    <row r="2" spans="1:6" x14ac:dyDescent="0.2">
      <c r="A2" t="s">
        <v>4</v>
      </c>
      <c r="B2" t="s">
        <v>5</v>
      </c>
      <c r="C2" t="s">
        <v>6</v>
      </c>
      <c r="D2">
        <v>4</v>
      </c>
      <c r="E2">
        <v>32</v>
      </c>
      <c r="F2">
        <v>20.051580000000001</v>
      </c>
    </row>
    <row r="3" spans="1:6" x14ac:dyDescent="0.2">
      <c r="A3" t="s">
        <v>4</v>
      </c>
      <c r="B3" t="s">
        <v>7</v>
      </c>
      <c r="C3" t="s">
        <v>8</v>
      </c>
      <c r="D3">
        <v>3</v>
      </c>
      <c r="E3">
        <v>38</v>
      </c>
      <c r="F3">
        <v>20.983619999999998</v>
      </c>
    </row>
    <row r="4" spans="1:6" x14ac:dyDescent="0.2">
      <c r="A4" t="s">
        <v>4</v>
      </c>
      <c r="B4" t="s">
        <v>9</v>
      </c>
      <c r="C4" t="s">
        <v>10</v>
      </c>
      <c r="D4">
        <v>6</v>
      </c>
      <c r="E4">
        <v>35</v>
      </c>
      <c r="F4">
        <v>20.054089999999999</v>
      </c>
    </row>
    <row r="5" spans="1:6" x14ac:dyDescent="0.2">
      <c r="A5" t="s">
        <v>4</v>
      </c>
      <c r="B5" t="s">
        <v>11</v>
      </c>
      <c r="C5" t="s">
        <v>12</v>
      </c>
      <c r="D5">
        <v>8</v>
      </c>
      <c r="E5">
        <v>42</v>
      </c>
      <c r="F5">
        <v>21.541869999999999</v>
      </c>
    </row>
    <row r="6" spans="1:6" x14ac:dyDescent="0.2">
      <c r="A6" t="s">
        <v>4</v>
      </c>
      <c r="B6" t="s">
        <v>13</v>
      </c>
      <c r="C6" t="s">
        <v>14</v>
      </c>
      <c r="D6">
        <v>0</v>
      </c>
      <c r="E6">
        <v>41</v>
      </c>
      <c r="F6">
        <v>22.23874</v>
      </c>
    </row>
    <row r="7" spans="1:6" x14ac:dyDescent="0.2">
      <c r="A7" t="s">
        <v>4</v>
      </c>
      <c r="B7" t="s">
        <v>15</v>
      </c>
      <c r="C7" t="s">
        <v>16</v>
      </c>
      <c r="D7">
        <v>4</v>
      </c>
      <c r="E7">
        <v>33</v>
      </c>
      <c r="F7">
        <v>22.153770000000002</v>
      </c>
    </row>
    <row r="8" spans="1:6" x14ac:dyDescent="0.2">
      <c r="A8" t="s">
        <v>4</v>
      </c>
      <c r="B8" t="s">
        <v>17</v>
      </c>
      <c r="C8" t="s">
        <v>18</v>
      </c>
      <c r="D8">
        <v>14</v>
      </c>
      <c r="E8">
        <v>37</v>
      </c>
      <c r="F8">
        <v>21.19838</v>
      </c>
    </row>
    <row r="9" spans="1:6" x14ac:dyDescent="0.2">
      <c r="A9" t="s">
        <v>4</v>
      </c>
      <c r="B9" t="s">
        <v>19</v>
      </c>
      <c r="C9" t="s">
        <v>20</v>
      </c>
      <c r="D9">
        <v>10</v>
      </c>
      <c r="E9">
        <v>37</v>
      </c>
      <c r="F9">
        <v>21.074059999999999</v>
      </c>
    </row>
    <row r="10" spans="1:6" x14ac:dyDescent="0.2">
      <c r="A10" t="s">
        <v>4</v>
      </c>
      <c r="B10" t="s">
        <v>21</v>
      </c>
      <c r="C10" t="s">
        <v>22</v>
      </c>
      <c r="D10">
        <v>6</v>
      </c>
      <c r="E10">
        <v>34</v>
      </c>
      <c r="F10">
        <v>21.51267</v>
      </c>
    </row>
    <row r="11" spans="1:6" x14ac:dyDescent="0.2">
      <c r="A11" t="s">
        <v>4</v>
      </c>
      <c r="B11" t="s">
        <v>23</v>
      </c>
      <c r="C11" t="s">
        <v>24</v>
      </c>
      <c r="D11">
        <v>2</v>
      </c>
      <c r="E11">
        <v>34</v>
      </c>
      <c r="F11">
        <v>21.951840000000001</v>
      </c>
    </row>
    <row r="12" spans="1:6" x14ac:dyDescent="0.2">
      <c r="A12" t="s">
        <v>4</v>
      </c>
      <c r="B12" t="s">
        <v>25</v>
      </c>
      <c r="C12" t="s">
        <v>26</v>
      </c>
      <c r="D12">
        <v>2</v>
      </c>
      <c r="E12">
        <v>33</v>
      </c>
      <c r="F12">
        <v>22.121279999999999</v>
      </c>
    </row>
    <row r="13" spans="1:6" x14ac:dyDescent="0.2">
      <c r="A13" t="s">
        <v>4</v>
      </c>
      <c r="B13" t="s">
        <v>27</v>
      </c>
      <c r="C13" t="s">
        <v>28</v>
      </c>
      <c r="D13">
        <v>1</v>
      </c>
      <c r="E13">
        <v>33</v>
      </c>
      <c r="F13">
        <v>21.017589999999998</v>
      </c>
    </row>
    <row r="14" spans="1:6" x14ac:dyDescent="0.2">
      <c r="A14" t="s">
        <v>4</v>
      </c>
      <c r="B14" t="s">
        <v>29</v>
      </c>
      <c r="C14" t="s">
        <v>30</v>
      </c>
      <c r="D14">
        <v>8</v>
      </c>
      <c r="E14">
        <v>34</v>
      </c>
      <c r="F14">
        <v>22.105090000000001</v>
      </c>
    </row>
    <row r="15" spans="1:6" x14ac:dyDescent="0.2">
      <c r="A15" t="s">
        <v>4</v>
      </c>
      <c r="B15" t="s">
        <v>31</v>
      </c>
      <c r="C15" t="s">
        <v>32</v>
      </c>
      <c r="D15">
        <v>14</v>
      </c>
      <c r="E15">
        <v>37</v>
      </c>
      <c r="F15">
        <v>21.43459</v>
      </c>
    </row>
    <row r="16" spans="1:6" x14ac:dyDescent="0.2">
      <c r="A16" t="s">
        <v>4</v>
      </c>
      <c r="B16" t="s">
        <v>33</v>
      </c>
      <c r="C16" t="s">
        <v>34</v>
      </c>
      <c r="D16">
        <v>22</v>
      </c>
      <c r="E16">
        <v>34</v>
      </c>
      <c r="F16">
        <v>21.01361</v>
      </c>
    </row>
    <row r="17" spans="1:6" x14ac:dyDescent="0.2">
      <c r="A17" t="s">
        <v>4</v>
      </c>
      <c r="B17" t="s">
        <v>35</v>
      </c>
      <c r="C17" t="s">
        <v>36</v>
      </c>
      <c r="D17">
        <v>8</v>
      </c>
      <c r="E17">
        <v>35</v>
      </c>
      <c r="F17">
        <v>19.796430000000001</v>
      </c>
    </row>
    <row r="18" spans="1:6" x14ac:dyDescent="0.2">
      <c r="A18" t="s">
        <v>4</v>
      </c>
      <c r="B18" t="s">
        <v>37</v>
      </c>
      <c r="C18" t="s">
        <v>38</v>
      </c>
      <c r="D18">
        <v>19</v>
      </c>
      <c r="E18">
        <v>40</v>
      </c>
      <c r="F18">
        <v>21.10736</v>
      </c>
    </row>
    <row r="19" spans="1:6" x14ac:dyDescent="0.2">
      <c r="A19" t="s">
        <v>4</v>
      </c>
      <c r="B19" t="s">
        <v>39</v>
      </c>
      <c r="C19" t="s">
        <v>40</v>
      </c>
      <c r="D19">
        <v>2</v>
      </c>
      <c r="E19">
        <v>32</v>
      </c>
      <c r="F19">
        <v>20.509930000000001</v>
      </c>
    </row>
    <row r="20" spans="1:6" x14ac:dyDescent="0.2">
      <c r="A20" t="s">
        <v>4</v>
      </c>
      <c r="B20" t="s">
        <v>41</v>
      </c>
      <c r="C20" t="s">
        <v>42</v>
      </c>
      <c r="D20">
        <v>4</v>
      </c>
      <c r="E20">
        <v>32</v>
      </c>
      <c r="F20">
        <v>21.055969999999999</v>
      </c>
    </row>
    <row r="21" spans="1:6" x14ac:dyDescent="0.2">
      <c r="A21" t="s">
        <v>4</v>
      </c>
      <c r="B21" t="s">
        <v>43</v>
      </c>
      <c r="C21" t="s">
        <v>44</v>
      </c>
      <c r="D21">
        <v>0</v>
      </c>
      <c r="E21">
        <v>28</v>
      </c>
      <c r="F21">
        <v>22.71274</v>
      </c>
    </row>
    <row r="22" spans="1:6" x14ac:dyDescent="0.2">
      <c r="A22" t="s">
        <v>4</v>
      </c>
      <c r="B22" t="s">
        <v>45</v>
      </c>
      <c r="C22" t="s">
        <v>46</v>
      </c>
      <c r="D22">
        <v>4</v>
      </c>
      <c r="E22">
        <v>38</v>
      </c>
      <c r="F22">
        <v>21.584520000000001</v>
      </c>
    </row>
    <row r="23" spans="1:6" x14ac:dyDescent="0.2">
      <c r="A23" t="s">
        <v>4</v>
      </c>
      <c r="B23" t="s">
        <v>47</v>
      </c>
      <c r="C23" t="s">
        <v>48</v>
      </c>
      <c r="D23">
        <v>22</v>
      </c>
      <c r="E23">
        <v>42</v>
      </c>
      <c r="F23">
        <v>21.002569999999999</v>
      </c>
    </row>
    <row r="24" spans="1:6" x14ac:dyDescent="0.2">
      <c r="A24" t="s">
        <v>4</v>
      </c>
      <c r="B24" t="s">
        <v>49</v>
      </c>
      <c r="C24" t="s">
        <v>50</v>
      </c>
      <c r="D24">
        <v>8</v>
      </c>
      <c r="E24">
        <v>40</v>
      </c>
      <c r="F24">
        <v>20.264970000000002</v>
      </c>
    </row>
    <row r="25" spans="1:6" x14ac:dyDescent="0.2">
      <c r="A25" t="s">
        <v>4</v>
      </c>
      <c r="B25" t="s">
        <v>51</v>
      </c>
      <c r="C25" t="s">
        <v>52</v>
      </c>
      <c r="D25">
        <v>8</v>
      </c>
      <c r="E25">
        <v>40</v>
      </c>
      <c r="F25">
        <v>20.647290000000002</v>
      </c>
    </row>
    <row r="26" spans="1:6" x14ac:dyDescent="0.2">
      <c r="A26" t="s">
        <v>4</v>
      </c>
      <c r="B26" t="s">
        <v>53</v>
      </c>
      <c r="C26" t="s">
        <v>54</v>
      </c>
      <c r="D26">
        <v>1</v>
      </c>
      <c r="E26">
        <v>34</v>
      </c>
      <c r="F26">
        <v>22.936699999999998</v>
      </c>
    </row>
    <row r="27" spans="1:6" x14ac:dyDescent="0.2">
      <c r="A27" t="s">
        <v>4</v>
      </c>
      <c r="B27" t="s">
        <v>55</v>
      </c>
      <c r="C27" t="s">
        <v>56</v>
      </c>
      <c r="D27">
        <v>8</v>
      </c>
      <c r="E27">
        <v>34</v>
      </c>
      <c r="F27">
        <v>21.311150000000001</v>
      </c>
    </row>
    <row r="28" spans="1:6" x14ac:dyDescent="0.2">
      <c r="A28" t="s">
        <v>4</v>
      </c>
      <c r="B28" t="s">
        <v>57</v>
      </c>
      <c r="C28" t="s">
        <v>58</v>
      </c>
      <c r="D28">
        <v>4</v>
      </c>
      <c r="E28">
        <v>30</v>
      </c>
      <c r="F28">
        <v>21.209240000000001</v>
      </c>
    </row>
    <row r="29" spans="1:6" x14ac:dyDescent="0.2">
      <c r="A29" t="s">
        <v>4</v>
      </c>
      <c r="B29" t="s">
        <v>59</v>
      </c>
      <c r="C29" t="s">
        <v>60</v>
      </c>
      <c r="D29">
        <v>13</v>
      </c>
      <c r="E29">
        <v>40</v>
      </c>
      <c r="F29">
        <v>19.691459999999999</v>
      </c>
    </row>
    <row r="30" spans="1:6" x14ac:dyDescent="0.2">
      <c r="A30" t="s">
        <v>4</v>
      </c>
      <c r="B30" t="s">
        <v>61</v>
      </c>
      <c r="C30" t="s">
        <v>62</v>
      </c>
      <c r="D30">
        <v>2</v>
      </c>
      <c r="E30">
        <v>34</v>
      </c>
      <c r="F30">
        <v>22.87932</v>
      </c>
    </row>
    <row r="31" spans="1:6" x14ac:dyDescent="0.2">
      <c r="A31" t="s">
        <v>4</v>
      </c>
      <c r="B31" t="s">
        <v>63</v>
      </c>
      <c r="C31" t="s">
        <v>64</v>
      </c>
      <c r="D31">
        <v>18</v>
      </c>
      <c r="E31">
        <v>35</v>
      </c>
      <c r="F31">
        <v>18.1677</v>
      </c>
    </row>
    <row r="32" spans="1:6" x14ac:dyDescent="0.2">
      <c r="A32" t="s">
        <v>4</v>
      </c>
      <c r="B32" t="s">
        <v>65</v>
      </c>
      <c r="C32" t="s">
        <v>66</v>
      </c>
      <c r="D32">
        <v>17</v>
      </c>
      <c r="E32">
        <v>40</v>
      </c>
      <c r="F32">
        <v>20.462789999999998</v>
      </c>
    </row>
    <row r="33" spans="1:6" x14ac:dyDescent="0.2">
      <c r="A33" t="s">
        <v>4</v>
      </c>
      <c r="B33" t="s">
        <v>67</v>
      </c>
      <c r="C33" t="s">
        <v>68</v>
      </c>
      <c r="D33">
        <v>9</v>
      </c>
      <c r="E33">
        <v>38</v>
      </c>
      <c r="F33">
        <v>20.630019999999998</v>
      </c>
    </row>
    <row r="34" spans="1:6" x14ac:dyDescent="0.2">
      <c r="A34" t="s">
        <v>4</v>
      </c>
      <c r="B34" t="s">
        <v>69</v>
      </c>
      <c r="C34" t="s">
        <v>70</v>
      </c>
      <c r="D34">
        <v>8</v>
      </c>
      <c r="E34">
        <v>35</v>
      </c>
      <c r="F34">
        <v>22.40522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E172-E268-144A-BF50-0C57A5DFFD37}">
  <dimension ref="A1:H21"/>
  <sheetViews>
    <sheetView workbookViewId="0">
      <selection activeCell="E27" sqref="E27"/>
    </sheetView>
  </sheetViews>
  <sheetFormatPr baseColWidth="10" defaultRowHeight="16" x14ac:dyDescent="0.2"/>
  <sheetData>
    <row r="1" spans="1:8" x14ac:dyDescent="0.2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 x14ac:dyDescent="0.2">
      <c r="A2" t="s">
        <v>82</v>
      </c>
      <c r="B2" t="s">
        <v>83</v>
      </c>
      <c r="C2" s="1" t="s">
        <v>84</v>
      </c>
      <c r="D2" s="2">
        <v>0.73696399000000001</v>
      </c>
      <c r="E2" s="2">
        <v>0.39264828000000002</v>
      </c>
      <c r="F2" s="2">
        <v>-4.0016050999999997E-2</v>
      </c>
      <c r="G2" s="2">
        <v>1.513944</v>
      </c>
      <c r="H2" s="2">
        <v>6.2825381999999999E-2</v>
      </c>
    </row>
    <row r="3" spans="1:8" x14ac:dyDescent="0.2">
      <c r="A3" t="s">
        <v>82</v>
      </c>
      <c r="B3" t="s">
        <v>83</v>
      </c>
      <c r="C3" s="3" t="s">
        <v>85</v>
      </c>
      <c r="D3" s="2">
        <v>0.52095181000000002</v>
      </c>
      <c r="E3" s="2">
        <v>0.40081426999999997</v>
      </c>
      <c r="F3" s="2">
        <v>-0.27218729000000003</v>
      </c>
      <c r="G3" s="2">
        <v>1.3140909999999999</v>
      </c>
      <c r="H3" s="2">
        <v>0.19604643999999999</v>
      </c>
    </row>
    <row r="4" spans="1:8" x14ac:dyDescent="0.2">
      <c r="A4" t="s">
        <v>82</v>
      </c>
      <c r="B4" t="s">
        <v>83</v>
      </c>
      <c r="C4" s="3" t="s">
        <v>86</v>
      </c>
      <c r="D4" s="2">
        <v>-5.7570166999999998E-2</v>
      </c>
      <c r="E4" s="2">
        <v>0.42557937000000001</v>
      </c>
      <c r="F4" s="2">
        <v>-0.89971495000000001</v>
      </c>
      <c r="G4" s="2">
        <v>0.78457456999999997</v>
      </c>
      <c r="H4" s="2">
        <v>0.89260876</v>
      </c>
    </row>
    <row r="5" spans="1:8" x14ac:dyDescent="0.2">
      <c r="A5" t="s">
        <v>82</v>
      </c>
      <c r="B5" t="s">
        <v>83</v>
      </c>
      <c r="C5" s="1" t="s">
        <v>3</v>
      </c>
      <c r="D5" s="2">
        <v>0.33715904000000002</v>
      </c>
      <c r="E5" s="2">
        <v>0.30388218</v>
      </c>
      <c r="F5" s="2">
        <v>-0.26445587999999998</v>
      </c>
      <c r="G5" s="2">
        <v>0.93877398999999995</v>
      </c>
      <c r="H5" s="2">
        <v>0.26941225000000002</v>
      </c>
    </row>
    <row r="6" spans="1:8" x14ac:dyDescent="0.2">
      <c r="A6" t="s">
        <v>82</v>
      </c>
      <c r="B6" t="s">
        <v>83</v>
      </c>
      <c r="C6" s="1" t="s">
        <v>87</v>
      </c>
      <c r="D6" s="2">
        <v>0.65317464000000003</v>
      </c>
      <c r="E6" s="2">
        <v>0.56161976000000002</v>
      </c>
      <c r="F6" s="2">
        <v>-0.45869979</v>
      </c>
      <c r="G6" s="2">
        <v>1.7650490000000001</v>
      </c>
      <c r="H6" s="2">
        <v>0.24711016</v>
      </c>
    </row>
    <row r="7" spans="1:8" x14ac:dyDescent="0.2">
      <c r="A7" t="s">
        <v>82</v>
      </c>
      <c r="B7" t="s">
        <v>88</v>
      </c>
      <c r="C7" s="1" t="s">
        <v>84</v>
      </c>
      <c r="D7" s="2">
        <v>1.1072491</v>
      </c>
      <c r="E7" s="2">
        <v>1.1113837</v>
      </c>
      <c r="F7" s="2">
        <v>-1.0969183</v>
      </c>
      <c r="G7" s="2">
        <v>3.3114165999999998</v>
      </c>
      <c r="H7" s="2">
        <v>0.32144900999999998</v>
      </c>
    </row>
    <row r="8" spans="1:8" x14ac:dyDescent="0.2">
      <c r="A8" t="s">
        <v>82</v>
      </c>
      <c r="B8" t="s">
        <v>88</v>
      </c>
      <c r="C8" s="3" t="s">
        <v>85</v>
      </c>
      <c r="D8" s="2">
        <v>4.8042659000000001E-2</v>
      </c>
      <c r="E8" s="2">
        <v>0.95562851000000004</v>
      </c>
      <c r="F8" s="2">
        <v>-1.847221</v>
      </c>
      <c r="G8" s="2">
        <v>1.9433062999999999</v>
      </c>
      <c r="H8" s="2">
        <v>0.96000189000000002</v>
      </c>
    </row>
    <row r="9" spans="1:8" x14ac:dyDescent="0.2">
      <c r="A9" t="s">
        <v>82</v>
      </c>
      <c r="B9" t="s">
        <v>88</v>
      </c>
      <c r="C9" s="3" t="s">
        <v>86</v>
      </c>
      <c r="D9" s="2">
        <v>-1.0514783000000001</v>
      </c>
      <c r="E9" s="2">
        <v>0.80335860999999997</v>
      </c>
      <c r="F9" s="2">
        <v>-2.6447506000000001</v>
      </c>
      <c r="G9" s="2">
        <v>0.54179405999999997</v>
      </c>
      <c r="H9" s="2">
        <v>0.1934969</v>
      </c>
    </row>
    <row r="10" spans="1:8" x14ac:dyDescent="0.2">
      <c r="A10" t="s">
        <v>82</v>
      </c>
      <c r="B10" t="s">
        <v>88</v>
      </c>
      <c r="C10" s="1" t="s">
        <v>3</v>
      </c>
      <c r="D10" s="2">
        <v>1.3124864999999999</v>
      </c>
      <c r="E10" s="2">
        <v>0.78746033000000004</v>
      </c>
      <c r="F10" s="2">
        <v>-0.25040421000000002</v>
      </c>
      <c r="G10" s="2">
        <v>2.8753772</v>
      </c>
      <c r="H10" s="2">
        <v>9.8793320000000004E-2</v>
      </c>
    </row>
    <row r="11" spans="1:8" x14ac:dyDescent="0.2">
      <c r="A11" t="s">
        <v>82</v>
      </c>
      <c r="B11" t="s">
        <v>88</v>
      </c>
      <c r="C11" s="1" t="s">
        <v>87</v>
      </c>
      <c r="D11" s="2">
        <v>2.2673549999999998</v>
      </c>
      <c r="E11" s="2">
        <v>1.4130094</v>
      </c>
      <c r="F11" s="2">
        <v>-0.53707771999999998</v>
      </c>
      <c r="G11" s="2">
        <v>5.0717873999999998</v>
      </c>
      <c r="H11" s="2">
        <v>0.11182672</v>
      </c>
    </row>
    <row r="12" spans="1:8" x14ac:dyDescent="0.2">
      <c r="A12" t="s">
        <v>89</v>
      </c>
      <c r="B12" t="s">
        <v>83</v>
      </c>
      <c r="C12" s="1" t="s">
        <v>84</v>
      </c>
      <c r="D12" s="2">
        <v>0.62947231999999997</v>
      </c>
      <c r="E12" s="2">
        <v>0.12476139</v>
      </c>
      <c r="F12" s="2">
        <v>0.38475992999999997</v>
      </c>
      <c r="G12" s="2">
        <v>0.87418467</v>
      </c>
      <c r="H12" s="4">
        <f>0.00000050397807</f>
        <v>5.0397807000000003E-7</v>
      </c>
    </row>
    <row r="13" spans="1:8" x14ac:dyDescent="0.2">
      <c r="A13" t="s">
        <v>89</v>
      </c>
      <c r="B13" t="s">
        <v>83</v>
      </c>
      <c r="C13" s="3" t="s">
        <v>85</v>
      </c>
      <c r="D13" s="2">
        <v>0.80918937999999996</v>
      </c>
      <c r="E13" s="2">
        <v>0.14789861000000001</v>
      </c>
      <c r="F13" s="2">
        <v>0.51909464999999999</v>
      </c>
      <c r="G13" s="2">
        <v>1.0992841</v>
      </c>
      <c r="H13" s="4">
        <f>0.000000051764459</f>
        <v>5.1764458999999997E-8</v>
      </c>
    </row>
    <row r="14" spans="1:8" x14ac:dyDescent="0.2">
      <c r="A14" t="s">
        <v>89</v>
      </c>
      <c r="B14" t="s">
        <v>83</v>
      </c>
      <c r="C14" s="3" t="s">
        <v>86</v>
      </c>
      <c r="D14" s="2">
        <v>0.16531396000000001</v>
      </c>
      <c r="E14" s="2">
        <v>0.15716125</v>
      </c>
      <c r="F14" s="2">
        <v>-0.14294889999999999</v>
      </c>
      <c r="G14" s="2">
        <v>0.47357681000000001</v>
      </c>
      <c r="H14" s="2">
        <v>0.29301533000000002</v>
      </c>
    </row>
    <row r="15" spans="1:8" x14ac:dyDescent="0.2">
      <c r="A15" t="s">
        <v>89</v>
      </c>
      <c r="B15" t="s">
        <v>83</v>
      </c>
      <c r="C15" s="1" t="s">
        <v>3</v>
      </c>
      <c r="D15" s="2">
        <v>0.46263310000000002</v>
      </c>
      <c r="E15" s="2">
        <v>0.13981943999999999</v>
      </c>
      <c r="F15" s="2">
        <v>0.18837177999999999</v>
      </c>
      <c r="G15" s="2">
        <v>0.73689442999999999</v>
      </c>
      <c r="H15" s="2">
        <v>9.5910422E-4</v>
      </c>
    </row>
    <row r="16" spans="1:8" x14ac:dyDescent="0.2">
      <c r="A16" t="s">
        <v>89</v>
      </c>
      <c r="B16" t="s">
        <v>83</v>
      </c>
      <c r="C16" s="1" t="s">
        <v>87</v>
      </c>
      <c r="D16" s="2">
        <v>1.1194793999999999</v>
      </c>
      <c r="E16" s="2">
        <v>0.29936990000000002</v>
      </c>
      <c r="F16" s="2">
        <v>0.53225356000000001</v>
      </c>
      <c r="G16" s="2">
        <v>1.7067053000000001</v>
      </c>
      <c r="H16" s="2">
        <v>1.9132601E-4</v>
      </c>
    </row>
    <row r="17" spans="1:8" x14ac:dyDescent="0.2">
      <c r="A17" t="s">
        <v>89</v>
      </c>
      <c r="B17" t="s">
        <v>88</v>
      </c>
      <c r="C17" s="1" t="s">
        <v>84</v>
      </c>
      <c r="D17" s="2">
        <v>1.1784258000000001</v>
      </c>
      <c r="E17" s="2">
        <v>0.33489794000000001</v>
      </c>
      <c r="F17" s="2">
        <v>0.52142197000000001</v>
      </c>
      <c r="G17" s="2">
        <v>1.8354296999999999</v>
      </c>
      <c r="H17" s="2">
        <v>4.4863173000000002E-4</v>
      </c>
    </row>
    <row r="18" spans="1:8" x14ac:dyDescent="0.2">
      <c r="A18" t="s">
        <v>89</v>
      </c>
      <c r="B18" t="s">
        <v>88</v>
      </c>
      <c r="C18" s="3" t="s">
        <v>85</v>
      </c>
      <c r="D18" s="2">
        <v>0.73621630999999998</v>
      </c>
      <c r="E18" s="2">
        <v>0.35744440999999999</v>
      </c>
      <c r="F18" s="2">
        <v>3.4980733E-2</v>
      </c>
      <c r="G18" s="2">
        <v>1.4374518000000001</v>
      </c>
      <c r="H18" s="2">
        <v>3.9630539999999999E-2</v>
      </c>
    </row>
    <row r="19" spans="1:8" x14ac:dyDescent="0.2">
      <c r="A19" t="s">
        <v>89</v>
      </c>
      <c r="B19" t="s">
        <v>88</v>
      </c>
      <c r="C19" s="3" t="s">
        <v>86</v>
      </c>
      <c r="D19" s="2">
        <v>-0.12489575</v>
      </c>
      <c r="E19" s="2">
        <v>0.31051691999999997</v>
      </c>
      <c r="F19" s="2">
        <v>-0.73406886999999998</v>
      </c>
      <c r="G19" s="2">
        <v>0.48427736999999998</v>
      </c>
      <c r="H19" s="2">
        <v>0.68758958999999997</v>
      </c>
    </row>
    <row r="20" spans="1:8" x14ac:dyDescent="0.2">
      <c r="A20" t="s">
        <v>89</v>
      </c>
      <c r="B20" t="s">
        <v>88</v>
      </c>
      <c r="C20" s="1" t="s">
        <v>3</v>
      </c>
      <c r="D20" s="2">
        <v>0.68360763999999996</v>
      </c>
      <c r="E20" s="2">
        <v>0.26592088000000003</v>
      </c>
      <c r="F20" s="2">
        <v>0.161883</v>
      </c>
      <c r="G20" s="2">
        <v>1.2053323</v>
      </c>
      <c r="H20" s="2">
        <v>1.0269179999999999E-2</v>
      </c>
    </row>
    <row r="21" spans="1:8" x14ac:dyDescent="0.2">
      <c r="A21" t="s">
        <v>89</v>
      </c>
      <c r="B21" t="s">
        <v>88</v>
      </c>
      <c r="C21" s="1" t="s">
        <v>87</v>
      </c>
      <c r="D21" s="2">
        <v>1.2733711000000001</v>
      </c>
      <c r="E21" s="2">
        <v>0.51687240999999995</v>
      </c>
      <c r="F21" s="2">
        <v>0.25929099</v>
      </c>
      <c r="G21" s="2">
        <v>2.2874512999999999</v>
      </c>
      <c r="H21" s="2">
        <v>1.3894933999999999E-2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A092-0628-CB41-B3DF-DD5C583253D1}">
  <dimension ref="A1:F53"/>
  <sheetViews>
    <sheetView zoomScale="139" workbookViewId="0">
      <selection activeCell="I8" sqref="I8"/>
    </sheetView>
  </sheetViews>
  <sheetFormatPr baseColWidth="10" defaultRowHeight="16" x14ac:dyDescent="0.2"/>
  <cols>
    <col min="5" max="6" width="21" bestFit="1" customWidth="1"/>
  </cols>
  <sheetData>
    <row r="1" spans="1:6" x14ac:dyDescent="0.2">
      <c r="A1" t="s">
        <v>108</v>
      </c>
      <c r="B1" t="s">
        <v>90</v>
      </c>
      <c r="C1" t="s">
        <v>79</v>
      </c>
      <c r="D1" t="s">
        <v>80</v>
      </c>
      <c r="E1" t="s">
        <v>91</v>
      </c>
      <c r="F1" t="s">
        <v>94</v>
      </c>
    </row>
    <row r="2" spans="1:6" x14ac:dyDescent="0.2">
      <c r="A2" t="s">
        <v>95</v>
      </c>
      <c r="B2" s="2">
        <v>-1.0452299999999999E-2</v>
      </c>
      <c r="C2" s="2">
        <v>-9.63281E-2</v>
      </c>
      <c r="D2" s="2">
        <v>7.5423599999999993E-2</v>
      </c>
      <c r="E2" s="1" t="s">
        <v>109</v>
      </c>
      <c r="F2" t="s">
        <v>92</v>
      </c>
    </row>
    <row r="3" spans="1:6" x14ac:dyDescent="0.2">
      <c r="A3" t="s">
        <v>97</v>
      </c>
      <c r="B3" s="2">
        <v>-3.6318000000000001E-3</v>
      </c>
      <c r="C3" s="2">
        <v>-9.2900700000000003E-2</v>
      </c>
      <c r="D3" s="2">
        <v>8.5637099999999994E-2</v>
      </c>
      <c r="E3" s="1" t="s">
        <v>109</v>
      </c>
      <c r="F3" t="s">
        <v>92</v>
      </c>
    </row>
    <row r="4" spans="1:6" x14ac:dyDescent="0.2">
      <c r="A4" t="s">
        <v>96</v>
      </c>
      <c r="B4" s="2">
        <v>-7.8104199999999999E-2</v>
      </c>
      <c r="C4" s="2">
        <v>-0.15566769999999999</v>
      </c>
      <c r="D4" s="2">
        <v>-5.4060000000000002E-4</v>
      </c>
      <c r="E4" s="1" t="s">
        <v>109</v>
      </c>
      <c r="F4" t="s">
        <v>92</v>
      </c>
    </row>
    <row r="5" spans="1:6" x14ac:dyDescent="0.2">
      <c r="A5" t="s">
        <v>98</v>
      </c>
      <c r="B5" s="2">
        <v>-7.0852499999999999E-2</v>
      </c>
      <c r="C5" s="2">
        <v>-0.1539046</v>
      </c>
      <c r="D5" s="2">
        <v>1.21995E-2</v>
      </c>
      <c r="E5" s="1" t="s">
        <v>109</v>
      </c>
      <c r="F5" t="s">
        <v>92</v>
      </c>
    </row>
    <row r="6" spans="1:6" x14ac:dyDescent="0.2">
      <c r="A6" t="s">
        <v>99</v>
      </c>
      <c r="B6" s="2">
        <v>2.5636999999999999E-3</v>
      </c>
      <c r="C6" s="2">
        <v>-8.5069099999999995E-2</v>
      </c>
      <c r="D6" s="2">
        <v>9.0196499999999999E-2</v>
      </c>
      <c r="E6" s="1" t="s">
        <v>109</v>
      </c>
      <c r="F6" t="s">
        <v>92</v>
      </c>
    </row>
    <row r="7" spans="1:6" x14ac:dyDescent="0.2">
      <c r="A7" t="s">
        <v>100</v>
      </c>
      <c r="B7" s="2">
        <v>1.2755499999999999E-2</v>
      </c>
      <c r="C7" s="2">
        <v>-5.0982199999999998E-2</v>
      </c>
      <c r="D7" s="2">
        <v>7.6493199999999997E-2</v>
      </c>
      <c r="E7" s="1" t="s">
        <v>109</v>
      </c>
      <c r="F7" t="s">
        <v>92</v>
      </c>
    </row>
    <row r="8" spans="1:6" x14ac:dyDescent="0.2">
      <c r="A8" t="s">
        <v>101</v>
      </c>
      <c r="B8" s="2">
        <v>4.6596899999999997E-2</v>
      </c>
      <c r="C8" s="2">
        <v>-4.03033E-2</v>
      </c>
      <c r="D8" s="2">
        <v>0.13349710000000001</v>
      </c>
      <c r="E8" s="1" t="s">
        <v>109</v>
      </c>
      <c r="F8" t="s">
        <v>92</v>
      </c>
    </row>
    <row r="9" spans="1:6" x14ac:dyDescent="0.2">
      <c r="A9" t="s">
        <v>102</v>
      </c>
      <c r="B9" s="2">
        <v>0</v>
      </c>
      <c r="C9" s="2">
        <v>0</v>
      </c>
      <c r="D9" s="2">
        <v>0</v>
      </c>
      <c r="E9" s="1" t="s">
        <v>109</v>
      </c>
      <c r="F9" t="s">
        <v>92</v>
      </c>
    </row>
    <row r="10" spans="1:6" x14ac:dyDescent="0.2">
      <c r="A10" t="s">
        <v>103</v>
      </c>
      <c r="B10" s="2">
        <v>2.3330699999999999E-2</v>
      </c>
      <c r="C10" s="2">
        <v>-3.6046300000000003E-2</v>
      </c>
      <c r="D10" s="2">
        <v>8.2707699999999995E-2</v>
      </c>
      <c r="E10" s="1" t="s">
        <v>109</v>
      </c>
      <c r="F10" t="s">
        <v>92</v>
      </c>
    </row>
    <row r="11" spans="1:6" x14ac:dyDescent="0.2">
      <c r="A11" t="s">
        <v>104</v>
      </c>
      <c r="B11" s="2">
        <v>1.7638000000000001E-2</v>
      </c>
      <c r="C11" s="2">
        <v>-3.5875400000000002E-2</v>
      </c>
      <c r="D11" s="2">
        <v>7.1151400000000004E-2</v>
      </c>
      <c r="E11" s="1" t="s">
        <v>109</v>
      </c>
      <c r="F11" t="s">
        <v>92</v>
      </c>
    </row>
    <row r="12" spans="1:6" x14ac:dyDescent="0.2">
      <c r="A12" t="s">
        <v>105</v>
      </c>
      <c r="B12" s="2">
        <v>3.40605E-2</v>
      </c>
      <c r="C12" s="2">
        <v>-2.2885300000000001E-2</v>
      </c>
      <c r="D12" s="2">
        <v>9.1006299999999998E-2</v>
      </c>
      <c r="E12" s="1" t="s">
        <v>109</v>
      </c>
      <c r="F12" t="s">
        <v>92</v>
      </c>
    </row>
    <row r="13" spans="1:6" x14ac:dyDescent="0.2">
      <c r="A13" t="s">
        <v>106</v>
      </c>
      <c r="B13" s="2">
        <v>4.7488900000000001E-2</v>
      </c>
      <c r="C13" s="2">
        <v>-4.3602399999999999E-2</v>
      </c>
      <c r="D13" s="2">
        <v>0.13858019999999999</v>
      </c>
      <c r="E13" s="1" t="s">
        <v>109</v>
      </c>
      <c r="F13" t="s">
        <v>92</v>
      </c>
    </row>
    <row r="14" spans="1:6" x14ac:dyDescent="0.2">
      <c r="A14" t="s">
        <v>107</v>
      </c>
      <c r="B14" s="2">
        <v>0.28303600000000001</v>
      </c>
      <c r="C14" s="2">
        <v>0.1848332</v>
      </c>
      <c r="D14" s="2">
        <v>0.38123879999999999</v>
      </c>
      <c r="E14" s="1" t="s">
        <v>109</v>
      </c>
      <c r="F14" t="s">
        <v>92</v>
      </c>
    </row>
    <row r="15" spans="1:6" x14ac:dyDescent="0.2">
      <c r="A15" t="s">
        <v>95</v>
      </c>
      <c r="B15" s="2">
        <v>-1.40765E-2</v>
      </c>
      <c r="C15" s="2">
        <v>-6.8750099999999995E-2</v>
      </c>
      <c r="D15" s="2">
        <v>4.05972E-2</v>
      </c>
      <c r="E15" s="1" t="s">
        <v>110</v>
      </c>
      <c r="F15" t="s">
        <v>92</v>
      </c>
    </row>
    <row r="16" spans="1:6" x14ac:dyDescent="0.2">
      <c r="A16" t="s">
        <v>97</v>
      </c>
      <c r="B16" s="2">
        <v>-3.5776599999999999E-2</v>
      </c>
      <c r="C16" s="2">
        <v>-8.9902499999999996E-2</v>
      </c>
      <c r="D16" s="2">
        <v>1.83492E-2</v>
      </c>
      <c r="E16" s="1" t="s">
        <v>110</v>
      </c>
      <c r="F16" t="s">
        <v>92</v>
      </c>
    </row>
    <row r="17" spans="1:6" x14ac:dyDescent="0.2">
      <c r="A17" t="s">
        <v>96</v>
      </c>
      <c r="B17" s="2">
        <v>-5.3687800000000001E-2</v>
      </c>
      <c r="C17" s="2">
        <v>-0.10709399999999999</v>
      </c>
      <c r="D17" s="2">
        <v>-2.8170000000000002E-4</v>
      </c>
      <c r="E17" s="1" t="s">
        <v>110</v>
      </c>
      <c r="F17" t="s">
        <v>92</v>
      </c>
    </row>
    <row r="18" spans="1:6" x14ac:dyDescent="0.2">
      <c r="A18" t="s">
        <v>98</v>
      </c>
      <c r="B18" s="2">
        <v>-6.2750200000000006E-2</v>
      </c>
      <c r="C18" s="2">
        <v>-0.1198611</v>
      </c>
      <c r="D18" s="2">
        <v>-5.6392999999999999E-3</v>
      </c>
      <c r="E18" s="1" t="s">
        <v>110</v>
      </c>
      <c r="F18" t="s">
        <v>92</v>
      </c>
    </row>
    <row r="19" spans="1:6" x14ac:dyDescent="0.2">
      <c r="A19" t="s">
        <v>99</v>
      </c>
      <c r="B19" s="2">
        <v>-5.3223000000000003E-3</v>
      </c>
      <c r="C19" s="2">
        <v>-5.2745300000000002E-2</v>
      </c>
      <c r="D19" s="2">
        <v>4.2100699999999998E-2</v>
      </c>
      <c r="E19" s="1" t="s">
        <v>110</v>
      </c>
      <c r="F19" t="s">
        <v>92</v>
      </c>
    </row>
    <row r="20" spans="1:6" x14ac:dyDescent="0.2">
      <c r="A20" t="s">
        <v>100</v>
      </c>
      <c r="B20" s="2">
        <v>-1.0878000000000001E-2</v>
      </c>
      <c r="C20" s="2">
        <v>-5.7960999999999999E-2</v>
      </c>
      <c r="D20" s="2">
        <v>3.6205099999999997E-2</v>
      </c>
      <c r="E20" s="1" t="s">
        <v>110</v>
      </c>
      <c r="F20" t="s">
        <v>92</v>
      </c>
    </row>
    <row r="21" spans="1:6" x14ac:dyDescent="0.2">
      <c r="A21" t="s">
        <v>101</v>
      </c>
      <c r="B21" s="2">
        <v>1.27178E-2</v>
      </c>
      <c r="C21" s="2">
        <v>-2.7590099999999999E-2</v>
      </c>
      <c r="D21" s="2">
        <v>5.3025700000000002E-2</v>
      </c>
      <c r="E21" s="1" t="s">
        <v>110</v>
      </c>
      <c r="F21" t="s">
        <v>92</v>
      </c>
    </row>
    <row r="22" spans="1:6" x14ac:dyDescent="0.2">
      <c r="A22" t="s">
        <v>102</v>
      </c>
      <c r="B22" s="2">
        <v>0</v>
      </c>
      <c r="C22" s="2">
        <v>0</v>
      </c>
      <c r="D22" s="2">
        <v>0</v>
      </c>
      <c r="E22" s="1" t="s">
        <v>110</v>
      </c>
      <c r="F22" t="s">
        <v>92</v>
      </c>
    </row>
    <row r="23" spans="1:6" x14ac:dyDescent="0.2">
      <c r="A23" t="s">
        <v>103</v>
      </c>
      <c r="B23" s="2">
        <v>1.39877E-2</v>
      </c>
      <c r="C23" s="2">
        <v>-4.4783000000000002E-3</v>
      </c>
      <c r="D23" s="2">
        <v>3.2453700000000002E-2</v>
      </c>
      <c r="E23" s="1" t="s">
        <v>110</v>
      </c>
      <c r="F23" t="s">
        <v>92</v>
      </c>
    </row>
    <row r="24" spans="1:6" x14ac:dyDescent="0.2">
      <c r="A24" t="s">
        <v>104</v>
      </c>
      <c r="B24" s="2">
        <v>8.7060000000000002E-3</v>
      </c>
      <c r="C24" s="2">
        <v>-9.7967999999999996E-3</v>
      </c>
      <c r="D24" s="2">
        <v>2.7208799999999998E-2</v>
      </c>
      <c r="E24" s="1" t="s">
        <v>110</v>
      </c>
      <c r="F24" t="s">
        <v>92</v>
      </c>
    </row>
    <row r="25" spans="1:6" x14ac:dyDescent="0.2">
      <c r="A25" t="s">
        <v>105</v>
      </c>
      <c r="B25" s="2">
        <v>1.9222400000000001E-2</v>
      </c>
      <c r="C25" s="2">
        <v>-7.1782E-3</v>
      </c>
      <c r="D25" s="2">
        <v>4.56231E-2</v>
      </c>
      <c r="E25" s="1" t="s">
        <v>110</v>
      </c>
      <c r="F25" t="s">
        <v>92</v>
      </c>
    </row>
    <row r="26" spans="1:6" x14ac:dyDescent="0.2">
      <c r="A26" t="s">
        <v>106</v>
      </c>
      <c r="B26" s="2">
        <v>4.9697499999999999E-2</v>
      </c>
      <c r="C26" s="2">
        <v>1.0168200000000001E-2</v>
      </c>
      <c r="D26" s="2">
        <v>8.9226899999999998E-2</v>
      </c>
      <c r="E26" s="1" t="s">
        <v>110</v>
      </c>
      <c r="F26" t="s">
        <v>92</v>
      </c>
    </row>
    <row r="27" spans="1:6" x14ac:dyDescent="0.2">
      <c r="A27" t="s">
        <v>107</v>
      </c>
      <c r="B27" s="2">
        <v>7.3683200000000004E-2</v>
      </c>
      <c r="C27" s="2">
        <v>1.7962100000000002E-2</v>
      </c>
      <c r="D27" s="2">
        <v>0.1294042</v>
      </c>
      <c r="E27" s="1" t="s">
        <v>110</v>
      </c>
      <c r="F27" t="s">
        <v>92</v>
      </c>
    </row>
    <row r="28" spans="1:6" x14ac:dyDescent="0.2">
      <c r="A28" t="s">
        <v>95</v>
      </c>
      <c r="B28" s="2">
        <v>-7.9371000000000008E-3</v>
      </c>
      <c r="C28" s="2">
        <v>-1.4964E-2</v>
      </c>
      <c r="D28" s="2">
        <v>-9.1020000000000001E-4</v>
      </c>
      <c r="E28" s="1" t="s">
        <v>109</v>
      </c>
      <c r="F28" t="s">
        <v>93</v>
      </c>
    </row>
    <row r="29" spans="1:6" x14ac:dyDescent="0.2">
      <c r="A29" t="s">
        <v>97</v>
      </c>
      <c r="B29" s="2">
        <v>-4.5310000000000003E-3</v>
      </c>
      <c r="C29" s="2">
        <v>-1.1649899999999999E-2</v>
      </c>
      <c r="D29" s="2">
        <v>2.5877999999999999E-3</v>
      </c>
      <c r="E29" s="1" t="s">
        <v>109</v>
      </c>
      <c r="F29" t="s">
        <v>93</v>
      </c>
    </row>
    <row r="30" spans="1:6" x14ac:dyDescent="0.2">
      <c r="A30" t="s">
        <v>96</v>
      </c>
      <c r="B30" s="2">
        <v>-1.1009700000000001E-2</v>
      </c>
      <c r="C30" s="2">
        <v>-1.8762299999999999E-2</v>
      </c>
      <c r="D30" s="2">
        <v>-3.2571000000000002E-3</v>
      </c>
      <c r="E30" s="1" t="s">
        <v>109</v>
      </c>
      <c r="F30" t="s">
        <v>93</v>
      </c>
    </row>
    <row r="31" spans="1:6" x14ac:dyDescent="0.2">
      <c r="A31" t="s">
        <v>98</v>
      </c>
      <c r="B31" s="2">
        <v>-1.1534300000000001E-2</v>
      </c>
      <c r="C31" s="2">
        <v>-1.9498700000000001E-2</v>
      </c>
      <c r="D31" s="2">
        <v>-3.5698000000000001E-3</v>
      </c>
      <c r="E31" s="1" t="s">
        <v>109</v>
      </c>
      <c r="F31" t="s">
        <v>93</v>
      </c>
    </row>
    <row r="32" spans="1:6" x14ac:dyDescent="0.2">
      <c r="A32" t="s">
        <v>99</v>
      </c>
      <c r="B32" s="2">
        <v>-8.4971000000000005E-3</v>
      </c>
      <c r="C32" s="2">
        <v>-1.67064E-2</v>
      </c>
      <c r="D32" s="2">
        <v>-2.879E-4</v>
      </c>
      <c r="E32" s="1" t="s">
        <v>109</v>
      </c>
      <c r="F32" t="s">
        <v>93</v>
      </c>
    </row>
    <row r="33" spans="1:6" x14ac:dyDescent="0.2">
      <c r="A33" t="s">
        <v>100</v>
      </c>
      <c r="B33" s="2">
        <v>-5.6535999999999999E-3</v>
      </c>
      <c r="C33" s="2">
        <v>-1.30674E-2</v>
      </c>
      <c r="D33" s="2">
        <v>1.7602E-3</v>
      </c>
      <c r="E33" s="1" t="s">
        <v>109</v>
      </c>
      <c r="F33" t="s">
        <v>93</v>
      </c>
    </row>
    <row r="34" spans="1:6" x14ac:dyDescent="0.2">
      <c r="A34" t="s">
        <v>101</v>
      </c>
      <c r="B34" s="2">
        <v>-6.5323000000000004E-3</v>
      </c>
      <c r="C34" s="2">
        <v>-1.38703E-2</v>
      </c>
      <c r="D34" s="2">
        <v>8.0570000000000001E-4</v>
      </c>
      <c r="E34" s="1" t="s">
        <v>109</v>
      </c>
      <c r="F34" t="s">
        <v>93</v>
      </c>
    </row>
    <row r="35" spans="1:6" x14ac:dyDescent="0.2">
      <c r="A35" t="s">
        <v>102</v>
      </c>
      <c r="B35" s="2">
        <v>0</v>
      </c>
      <c r="C35" s="2">
        <v>0</v>
      </c>
      <c r="D35" s="2">
        <v>0</v>
      </c>
      <c r="E35" s="1" t="s">
        <v>109</v>
      </c>
      <c r="F35" t="s">
        <v>93</v>
      </c>
    </row>
    <row r="36" spans="1:6" x14ac:dyDescent="0.2">
      <c r="A36" t="s">
        <v>103</v>
      </c>
      <c r="B36" s="2">
        <v>9.0760000000000005E-4</v>
      </c>
      <c r="C36" s="2">
        <v>-5.1225000000000003E-3</v>
      </c>
      <c r="D36" s="2">
        <v>6.9378E-3</v>
      </c>
      <c r="E36" s="1" t="s">
        <v>109</v>
      </c>
      <c r="F36" t="s">
        <v>93</v>
      </c>
    </row>
    <row r="37" spans="1:6" x14ac:dyDescent="0.2">
      <c r="A37" t="s">
        <v>104</v>
      </c>
      <c r="B37" s="2">
        <v>-3.9100999999999997E-3</v>
      </c>
      <c r="C37" s="2">
        <v>-1.03587E-2</v>
      </c>
      <c r="D37" s="2">
        <v>2.5384000000000001E-3</v>
      </c>
      <c r="E37" s="1" t="s">
        <v>109</v>
      </c>
      <c r="F37" t="s">
        <v>93</v>
      </c>
    </row>
    <row r="38" spans="1:6" x14ac:dyDescent="0.2">
      <c r="A38" t="s">
        <v>105</v>
      </c>
      <c r="B38" s="2">
        <v>-5.5259999999999997E-3</v>
      </c>
      <c r="C38" s="2">
        <v>-1.21032E-2</v>
      </c>
      <c r="D38" s="2">
        <v>1.0513E-3</v>
      </c>
      <c r="E38" s="1" t="s">
        <v>109</v>
      </c>
      <c r="F38" t="s">
        <v>93</v>
      </c>
    </row>
    <row r="39" spans="1:6" x14ac:dyDescent="0.2">
      <c r="A39" t="s">
        <v>106</v>
      </c>
      <c r="B39" s="2">
        <v>-2.7831000000000002E-3</v>
      </c>
      <c r="C39" s="2">
        <v>-9.8285000000000004E-3</v>
      </c>
      <c r="D39" s="2">
        <v>4.2623000000000001E-3</v>
      </c>
      <c r="E39" s="1" t="s">
        <v>109</v>
      </c>
      <c r="F39" t="s">
        <v>93</v>
      </c>
    </row>
    <row r="40" spans="1:6" x14ac:dyDescent="0.2">
      <c r="A40" t="s">
        <v>107</v>
      </c>
      <c r="B40" s="2">
        <v>-1.57412E-2</v>
      </c>
      <c r="C40" s="2">
        <v>-3.3389599999999998E-2</v>
      </c>
      <c r="D40" s="2">
        <v>1.9072E-3</v>
      </c>
      <c r="E40" s="1" t="s">
        <v>109</v>
      </c>
      <c r="F40" t="s">
        <v>93</v>
      </c>
    </row>
    <row r="41" spans="1:6" x14ac:dyDescent="0.2">
      <c r="A41" t="s">
        <v>95</v>
      </c>
      <c r="B41" s="2">
        <v>-5.3544399999999999E-2</v>
      </c>
      <c r="C41" s="2">
        <v>-7.5030600000000003E-2</v>
      </c>
      <c r="D41" s="2">
        <v>-3.2058200000000002E-2</v>
      </c>
      <c r="E41" s="1" t="s">
        <v>110</v>
      </c>
      <c r="F41" t="s">
        <v>93</v>
      </c>
    </row>
    <row r="42" spans="1:6" x14ac:dyDescent="0.2">
      <c r="A42" t="s">
        <v>97</v>
      </c>
      <c r="B42" s="2">
        <v>-3.7231800000000002E-2</v>
      </c>
      <c r="C42" s="2">
        <v>-5.7494200000000002E-2</v>
      </c>
      <c r="D42" s="2">
        <v>-1.6969499999999998E-2</v>
      </c>
      <c r="E42" s="1" t="s">
        <v>110</v>
      </c>
      <c r="F42" t="s">
        <v>93</v>
      </c>
    </row>
    <row r="43" spans="1:6" x14ac:dyDescent="0.2">
      <c r="A43" t="s">
        <v>96</v>
      </c>
      <c r="B43" s="2">
        <v>-3.16542E-2</v>
      </c>
      <c r="C43" s="2">
        <v>-5.0357100000000002E-2</v>
      </c>
      <c r="D43" s="2">
        <v>-1.29514E-2</v>
      </c>
      <c r="E43" s="1" t="s">
        <v>110</v>
      </c>
      <c r="F43" t="s">
        <v>93</v>
      </c>
    </row>
    <row r="44" spans="1:6" x14ac:dyDescent="0.2">
      <c r="A44" t="s">
        <v>98</v>
      </c>
      <c r="B44" s="2">
        <v>-2.5546300000000001E-2</v>
      </c>
      <c r="C44" s="2">
        <v>-4.27634E-2</v>
      </c>
      <c r="D44" s="2">
        <v>-8.3292000000000001E-3</v>
      </c>
      <c r="E44" s="1" t="s">
        <v>110</v>
      </c>
      <c r="F44" t="s">
        <v>93</v>
      </c>
    </row>
    <row r="45" spans="1:6" x14ac:dyDescent="0.2">
      <c r="A45" t="s">
        <v>99</v>
      </c>
      <c r="B45" s="2">
        <v>-2.06608E-2</v>
      </c>
      <c r="C45" s="2">
        <v>-3.4359500000000001E-2</v>
      </c>
      <c r="D45" s="2">
        <v>-6.9620000000000003E-3</v>
      </c>
      <c r="E45" s="1" t="s">
        <v>110</v>
      </c>
      <c r="F45" t="s">
        <v>93</v>
      </c>
    </row>
    <row r="46" spans="1:6" x14ac:dyDescent="0.2">
      <c r="A46" t="s">
        <v>100</v>
      </c>
      <c r="B46" s="2">
        <v>-8.1504999999999998E-3</v>
      </c>
      <c r="C46" s="2">
        <v>-1.9535299999999998E-2</v>
      </c>
      <c r="D46" s="2">
        <v>3.2344000000000001E-3</v>
      </c>
      <c r="E46" s="1" t="s">
        <v>110</v>
      </c>
      <c r="F46" t="s">
        <v>93</v>
      </c>
    </row>
    <row r="47" spans="1:6" x14ac:dyDescent="0.2">
      <c r="A47" t="s">
        <v>101</v>
      </c>
      <c r="B47" s="2">
        <v>3.8519999999999998E-4</v>
      </c>
      <c r="C47" s="2">
        <v>-9.7523000000000002E-3</v>
      </c>
      <c r="D47" s="2">
        <v>1.0522699999999999E-2</v>
      </c>
      <c r="E47" s="1" t="s">
        <v>110</v>
      </c>
      <c r="F47" t="s">
        <v>93</v>
      </c>
    </row>
    <row r="48" spans="1:6" x14ac:dyDescent="0.2">
      <c r="A48" t="s">
        <v>102</v>
      </c>
      <c r="B48" s="2">
        <v>0</v>
      </c>
      <c r="C48" s="2">
        <v>0</v>
      </c>
      <c r="D48" s="2">
        <v>0</v>
      </c>
      <c r="E48" s="1" t="s">
        <v>110</v>
      </c>
      <c r="F48" t="s">
        <v>93</v>
      </c>
    </row>
    <row r="49" spans="1:6" x14ac:dyDescent="0.2">
      <c r="A49" t="s">
        <v>103</v>
      </c>
      <c r="B49" s="2">
        <v>1.9023E-3</v>
      </c>
      <c r="C49" s="2">
        <v>-6.1244000000000003E-3</v>
      </c>
      <c r="D49" s="2">
        <v>9.9290999999999997E-3</v>
      </c>
      <c r="E49" s="1" t="s">
        <v>110</v>
      </c>
      <c r="F49" t="s">
        <v>93</v>
      </c>
    </row>
    <row r="50" spans="1:6" x14ac:dyDescent="0.2">
      <c r="A50" t="s">
        <v>104</v>
      </c>
      <c r="B50" s="2">
        <v>6.2569999999999998E-4</v>
      </c>
      <c r="C50" s="2">
        <v>-9.1176999999999994E-3</v>
      </c>
      <c r="D50" s="2">
        <v>1.0369E-2</v>
      </c>
      <c r="E50" s="1" t="s">
        <v>110</v>
      </c>
      <c r="F50" t="s">
        <v>93</v>
      </c>
    </row>
    <row r="51" spans="1:6" x14ac:dyDescent="0.2">
      <c r="A51" t="s">
        <v>105</v>
      </c>
      <c r="B51" s="2">
        <v>-7.3356000000000003E-3</v>
      </c>
      <c r="C51" s="2">
        <v>-1.9785500000000001E-2</v>
      </c>
      <c r="D51" s="2">
        <v>5.1143999999999998E-3</v>
      </c>
      <c r="E51" s="1" t="s">
        <v>110</v>
      </c>
      <c r="F51" t="s">
        <v>93</v>
      </c>
    </row>
    <row r="52" spans="1:6" x14ac:dyDescent="0.2">
      <c r="A52" t="s">
        <v>106</v>
      </c>
      <c r="B52" s="2">
        <v>-3.3045000000000001E-3</v>
      </c>
      <c r="C52" s="2">
        <v>-1.8492700000000001E-2</v>
      </c>
      <c r="D52" s="2">
        <v>1.1883700000000001E-2</v>
      </c>
      <c r="E52" s="1" t="s">
        <v>110</v>
      </c>
      <c r="F52" t="s">
        <v>93</v>
      </c>
    </row>
    <row r="53" spans="1:6" x14ac:dyDescent="0.2">
      <c r="A53" t="s">
        <v>107</v>
      </c>
      <c r="B53" s="2">
        <v>5.0156000000000003E-3</v>
      </c>
      <c r="C53" s="2">
        <v>-1.52137E-2</v>
      </c>
      <c r="D53" s="2">
        <v>2.5245E-2</v>
      </c>
      <c r="E53" s="1" t="s">
        <v>110</v>
      </c>
      <c r="F53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D12F-37D9-AB4E-B680-711B4E7BC989}">
  <dimension ref="A1:E117"/>
  <sheetViews>
    <sheetView topLeftCell="A88" workbookViewId="0">
      <selection activeCell="I107" sqref="I107"/>
    </sheetView>
  </sheetViews>
  <sheetFormatPr baseColWidth="10" defaultRowHeight="16" x14ac:dyDescent="0.2"/>
  <sheetData>
    <row r="1" spans="1:5" x14ac:dyDescent="0.2">
      <c r="A1" t="s">
        <v>111</v>
      </c>
      <c r="B1" t="s">
        <v>0</v>
      </c>
      <c r="C1" t="s">
        <v>90</v>
      </c>
      <c r="D1" t="s">
        <v>73</v>
      </c>
      <c r="E1" t="s">
        <v>112</v>
      </c>
    </row>
    <row r="2" spans="1:5" x14ac:dyDescent="0.2">
      <c r="A2" t="s">
        <v>113</v>
      </c>
      <c r="B2" t="s">
        <v>114</v>
      </c>
      <c r="C2" s="2">
        <v>1.1267522999999999</v>
      </c>
      <c r="D2" s="2">
        <v>27.930800000000001</v>
      </c>
      <c r="E2" s="2">
        <v>3595.1066999999998</v>
      </c>
    </row>
    <row r="3" spans="1:5" x14ac:dyDescent="0.2">
      <c r="A3" t="s">
        <v>115</v>
      </c>
      <c r="B3" t="s">
        <v>116</v>
      </c>
      <c r="C3" s="2">
        <v>-2.313873E-2</v>
      </c>
      <c r="D3" s="2">
        <v>17.779150000000001</v>
      </c>
      <c r="E3" s="2">
        <v>4431.5392000000002</v>
      </c>
    </row>
    <row r="4" spans="1:5" x14ac:dyDescent="0.2">
      <c r="A4" t="s">
        <v>117</v>
      </c>
      <c r="B4" t="s">
        <v>118</v>
      </c>
      <c r="C4" s="2">
        <v>1.712816E-2</v>
      </c>
      <c r="D4" s="2">
        <v>13.08888</v>
      </c>
      <c r="E4" s="2">
        <v>4051.3850000000002</v>
      </c>
    </row>
    <row r="5" spans="1:5" x14ac:dyDescent="0.2">
      <c r="A5" t="s">
        <v>119</v>
      </c>
      <c r="B5" t="s">
        <v>120</v>
      </c>
      <c r="C5" s="2">
        <v>4.5054089999999998E-2</v>
      </c>
      <c r="D5" s="2">
        <v>18.04787</v>
      </c>
      <c r="E5" s="2">
        <v>58447.252999999997</v>
      </c>
    </row>
    <row r="6" spans="1:5" x14ac:dyDescent="0.2">
      <c r="A6" t="s">
        <v>121</v>
      </c>
      <c r="B6" t="s">
        <v>122</v>
      </c>
      <c r="C6" s="2">
        <v>5.9106270000000002E-2</v>
      </c>
      <c r="D6" s="2">
        <v>11.59896</v>
      </c>
      <c r="E6" s="2">
        <v>46170.394999999997</v>
      </c>
    </row>
    <row r="7" spans="1:5" x14ac:dyDescent="0.2">
      <c r="A7" t="s">
        <v>123</v>
      </c>
      <c r="B7" t="s">
        <v>124</v>
      </c>
      <c r="C7" s="2">
        <v>2.4578625000000001</v>
      </c>
      <c r="D7" s="2">
        <v>24.590910000000001</v>
      </c>
      <c r="E7" s="2">
        <v>281.97023000000002</v>
      </c>
    </row>
    <row r="8" spans="1:5" x14ac:dyDescent="0.2">
      <c r="A8" t="s">
        <v>125</v>
      </c>
      <c r="B8" t="s">
        <v>126</v>
      </c>
      <c r="C8" s="2">
        <v>0.18785288999999999</v>
      </c>
      <c r="D8" s="2">
        <v>13.66006</v>
      </c>
      <c r="E8" s="2">
        <v>42376.205999999998</v>
      </c>
    </row>
    <row r="9" spans="1:5" x14ac:dyDescent="0.2">
      <c r="A9" t="s">
        <v>127</v>
      </c>
      <c r="B9" t="s">
        <v>128</v>
      </c>
      <c r="C9" s="2">
        <v>1.1172757</v>
      </c>
      <c r="D9" s="2">
        <v>30.5519</v>
      </c>
      <c r="E9" s="2">
        <v>1155.3132000000001</v>
      </c>
    </row>
    <row r="10" spans="1:5" x14ac:dyDescent="0.2">
      <c r="A10" t="s">
        <v>129</v>
      </c>
      <c r="B10" t="s">
        <v>130</v>
      </c>
      <c r="C10" s="2">
        <v>1.0009275</v>
      </c>
      <c r="D10" s="2">
        <v>32.96837</v>
      </c>
      <c r="E10" s="2">
        <v>718.64256</v>
      </c>
    </row>
    <row r="11" spans="1:5" x14ac:dyDescent="0.2">
      <c r="A11" t="s">
        <v>131</v>
      </c>
      <c r="B11" t="s">
        <v>132</v>
      </c>
      <c r="C11" s="2">
        <v>0.44223616999999998</v>
      </c>
      <c r="D11" s="2">
        <v>27.505939999999999</v>
      </c>
      <c r="E11" s="2">
        <v>1498.3878999999999</v>
      </c>
    </row>
    <row r="12" spans="1:5" x14ac:dyDescent="0.2">
      <c r="A12" t="s">
        <v>133</v>
      </c>
      <c r="B12" t="s">
        <v>134</v>
      </c>
      <c r="C12" s="2">
        <v>-0.31895864000000002</v>
      </c>
      <c r="D12" s="2">
        <v>11.483000000000001</v>
      </c>
      <c r="E12" s="2">
        <v>6165.9093000000003</v>
      </c>
    </row>
    <row r="13" spans="1:5" x14ac:dyDescent="0.2">
      <c r="A13" t="s">
        <v>135</v>
      </c>
      <c r="B13" t="s">
        <v>136</v>
      </c>
      <c r="C13" s="2">
        <v>2.6486389999999999E-2</v>
      </c>
      <c r="D13" s="2">
        <v>14.84277</v>
      </c>
      <c r="E13" s="2">
        <v>3291.1563999999998</v>
      </c>
    </row>
    <row r="14" spans="1:5" x14ac:dyDescent="0.2">
      <c r="A14" t="s">
        <v>137</v>
      </c>
      <c r="B14" t="s">
        <v>138</v>
      </c>
      <c r="C14" s="2">
        <v>0.29957391999999999</v>
      </c>
      <c r="D14" s="2">
        <v>24.549309999999998</v>
      </c>
      <c r="E14" s="2">
        <v>8582.3385999999991</v>
      </c>
    </row>
    <row r="15" spans="1:5" x14ac:dyDescent="0.2">
      <c r="A15" t="s">
        <v>139</v>
      </c>
      <c r="B15" t="s">
        <v>140</v>
      </c>
      <c r="C15" s="2">
        <v>6.8122399999999998E-3</v>
      </c>
      <c r="D15" s="2">
        <v>14.757350000000001</v>
      </c>
      <c r="E15" s="2">
        <v>3097.1484</v>
      </c>
    </row>
    <row r="16" spans="1:5" x14ac:dyDescent="0.2">
      <c r="A16" t="s">
        <v>141</v>
      </c>
      <c r="B16" t="s">
        <v>142</v>
      </c>
      <c r="C16" s="2">
        <v>0.51561785999999998</v>
      </c>
      <c r="D16" s="2">
        <v>29.904499999999999</v>
      </c>
      <c r="E16" s="2">
        <v>6973.0987999999998</v>
      </c>
    </row>
    <row r="17" spans="1:5" x14ac:dyDescent="0.2">
      <c r="A17" t="s">
        <v>143</v>
      </c>
      <c r="B17" t="s">
        <v>144</v>
      </c>
      <c r="C17" s="2">
        <v>0.17985466999999999</v>
      </c>
      <c r="D17" s="2">
        <v>0.2515597</v>
      </c>
      <c r="E17" s="2">
        <v>44917.37</v>
      </c>
    </row>
    <row r="18" spans="1:5" x14ac:dyDescent="0.2">
      <c r="A18" t="s">
        <v>145</v>
      </c>
      <c r="B18" t="s">
        <v>146</v>
      </c>
      <c r="C18" s="2">
        <v>5.4908640000000002E-2</v>
      </c>
      <c r="D18" s="2">
        <v>8.9538349999999998</v>
      </c>
      <c r="E18" s="2">
        <v>87980.671000000002</v>
      </c>
    </row>
    <row r="19" spans="1:5" x14ac:dyDescent="0.2">
      <c r="A19" t="s">
        <v>147</v>
      </c>
      <c r="B19" t="s">
        <v>148</v>
      </c>
      <c r="C19" s="2">
        <v>2.8039310000000001E-2</v>
      </c>
      <c r="D19" s="2">
        <v>7.0608009999999997</v>
      </c>
      <c r="E19" s="2">
        <v>13901.018</v>
      </c>
    </row>
    <row r="20" spans="1:5" x14ac:dyDescent="0.2">
      <c r="A20" t="s">
        <v>149</v>
      </c>
      <c r="B20" t="s">
        <v>150</v>
      </c>
      <c r="C20" s="2">
        <v>0.83245924000000004</v>
      </c>
      <c r="D20" s="2">
        <v>29.61918</v>
      </c>
      <c r="E20" s="2">
        <v>2247.7766000000001</v>
      </c>
    </row>
    <row r="21" spans="1:5" x14ac:dyDescent="0.2">
      <c r="A21" t="s">
        <v>151</v>
      </c>
      <c r="B21" t="s">
        <v>152</v>
      </c>
      <c r="C21" s="2">
        <v>0.72643181000000001</v>
      </c>
      <c r="D21" s="2">
        <v>28.851780000000002</v>
      </c>
      <c r="E21" s="2">
        <v>1437.2715000000001</v>
      </c>
    </row>
    <row r="22" spans="1:5" x14ac:dyDescent="0.2">
      <c r="A22" t="s">
        <v>153</v>
      </c>
      <c r="B22" t="s">
        <v>154</v>
      </c>
      <c r="C22" s="2">
        <v>2.4777847</v>
      </c>
      <c r="D22" s="2">
        <v>28.492629999999998</v>
      </c>
      <c r="E22" s="2">
        <v>506.95827000000003</v>
      </c>
    </row>
    <row r="23" spans="1:5" x14ac:dyDescent="0.2">
      <c r="A23" t="s">
        <v>155</v>
      </c>
      <c r="B23" t="s">
        <v>156</v>
      </c>
      <c r="C23" s="2">
        <v>0.45427859999999998</v>
      </c>
      <c r="D23" s="2">
        <v>19.910979999999999</v>
      </c>
      <c r="E23" s="2">
        <v>6271.8751000000002</v>
      </c>
    </row>
    <row r="24" spans="1:5" x14ac:dyDescent="0.2">
      <c r="A24" t="s">
        <v>157</v>
      </c>
      <c r="B24" t="s">
        <v>158</v>
      </c>
      <c r="C24" s="2">
        <v>0.18606698999999999</v>
      </c>
      <c r="D24" s="2">
        <v>21.32217</v>
      </c>
      <c r="E24" s="2">
        <v>12573.956</v>
      </c>
    </row>
    <row r="25" spans="1:5" x14ac:dyDescent="0.2">
      <c r="A25" t="s">
        <v>159</v>
      </c>
      <c r="B25" t="s">
        <v>160</v>
      </c>
      <c r="C25" s="2">
        <v>0.14307343</v>
      </c>
      <c r="D25" s="2">
        <v>22.654330000000002</v>
      </c>
      <c r="E25" s="2">
        <v>27161.402999999998</v>
      </c>
    </row>
    <row r="26" spans="1:5" x14ac:dyDescent="0.2">
      <c r="A26" t="s">
        <v>161</v>
      </c>
      <c r="B26" t="s">
        <v>162</v>
      </c>
      <c r="C26" s="2">
        <v>-0.21254243</v>
      </c>
      <c r="D26" s="2">
        <v>12.813140000000001</v>
      </c>
      <c r="E26" s="2">
        <v>19685.493999999999</v>
      </c>
    </row>
    <row r="27" spans="1:5" x14ac:dyDescent="0.2">
      <c r="A27" t="s">
        <v>163</v>
      </c>
      <c r="B27" t="s">
        <v>164</v>
      </c>
      <c r="C27" s="2">
        <v>-0.14141324</v>
      </c>
      <c r="D27" s="2">
        <v>12.52121</v>
      </c>
      <c r="E27" s="2">
        <v>42956.010999999999</v>
      </c>
    </row>
    <row r="28" spans="1:5" x14ac:dyDescent="0.2">
      <c r="A28" t="s">
        <v>165</v>
      </c>
      <c r="B28" t="s">
        <v>166</v>
      </c>
      <c r="C28" s="2">
        <v>1.3387981</v>
      </c>
      <c r="D28" s="2">
        <v>32.488500000000002</v>
      </c>
      <c r="E28" s="2">
        <v>3088.5637999999999</v>
      </c>
    </row>
    <row r="29" spans="1:5" x14ac:dyDescent="0.2">
      <c r="A29" t="s">
        <v>167</v>
      </c>
      <c r="B29" t="s">
        <v>168</v>
      </c>
      <c r="C29" s="2">
        <v>0.25412868999999999</v>
      </c>
      <c r="D29" s="2">
        <v>11.403359999999999</v>
      </c>
      <c r="E29" s="2">
        <v>56563.487999999998</v>
      </c>
    </row>
    <row r="30" spans="1:5" x14ac:dyDescent="0.2">
      <c r="A30" t="s">
        <v>169</v>
      </c>
      <c r="B30" t="s">
        <v>170</v>
      </c>
      <c r="C30" s="2">
        <v>2.9385310000000001E-2</v>
      </c>
      <c r="D30" s="2">
        <v>22.644670000000001</v>
      </c>
      <c r="E30" s="2">
        <v>7997.7610999999997</v>
      </c>
    </row>
    <row r="31" spans="1:5" x14ac:dyDescent="0.2">
      <c r="A31" t="s">
        <v>171</v>
      </c>
      <c r="B31" t="s">
        <v>172</v>
      </c>
      <c r="C31" s="2">
        <v>-0.18909192</v>
      </c>
      <c r="D31" s="2">
        <v>28.61881</v>
      </c>
      <c r="E31" s="2">
        <v>3831.1997999999999</v>
      </c>
    </row>
    <row r="32" spans="1:5" x14ac:dyDescent="0.2">
      <c r="A32" t="s">
        <v>173</v>
      </c>
      <c r="B32" t="s">
        <v>174</v>
      </c>
      <c r="C32" s="2">
        <v>0.21529306000000001</v>
      </c>
      <c r="D32" s="2">
        <v>18.38918</v>
      </c>
      <c r="E32" s="2">
        <v>27714.657999999999</v>
      </c>
    </row>
    <row r="33" spans="1:5" x14ac:dyDescent="0.2">
      <c r="A33" t="s">
        <v>175</v>
      </c>
      <c r="B33" t="s">
        <v>176</v>
      </c>
      <c r="C33" s="2">
        <v>0.18381754</v>
      </c>
      <c r="D33" s="2">
        <v>9.5058600000000002</v>
      </c>
      <c r="E33" s="2">
        <v>19669.764999999999</v>
      </c>
    </row>
    <row r="34" spans="1:5" x14ac:dyDescent="0.2">
      <c r="A34" t="s">
        <v>177</v>
      </c>
      <c r="B34" t="s">
        <v>178</v>
      </c>
      <c r="C34" s="2">
        <v>0.48858341</v>
      </c>
      <c r="D34" s="2">
        <v>28.437830000000002</v>
      </c>
      <c r="E34" s="2">
        <v>757.35041999999999</v>
      </c>
    </row>
    <row r="35" spans="1:5" x14ac:dyDescent="0.2">
      <c r="A35" t="s">
        <v>179</v>
      </c>
      <c r="B35" t="s">
        <v>180</v>
      </c>
      <c r="C35" s="2">
        <v>0.14431052999999999</v>
      </c>
      <c r="D35" s="2">
        <v>7.4725640000000002</v>
      </c>
      <c r="E35" s="2">
        <v>45610.578999999998</v>
      </c>
    </row>
    <row r="36" spans="1:5" x14ac:dyDescent="0.2">
      <c r="A36" t="s">
        <v>181</v>
      </c>
      <c r="B36" t="s">
        <v>182</v>
      </c>
      <c r="C36" s="2">
        <v>-2.9289269999999999E-2</v>
      </c>
      <c r="D36" s="2">
        <v>24.205300000000001</v>
      </c>
      <c r="E36" s="2">
        <v>5938.4276</v>
      </c>
    </row>
    <row r="37" spans="1:5" x14ac:dyDescent="0.2">
      <c r="A37" t="s">
        <v>183</v>
      </c>
      <c r="B37" t="s">
        <v>184</v>
      </c>
      <c r="C37" s="2">
        <v>0.20209932</v>
      </c>
      <c r="D37" s="2">
        <v>15.27999</v>
      </c>
      <c r="E37" s="2">
        <v>38276.468999999997</v>
      </c>
    </row>
    <row r="38" spans="1:5" x14ac:dyDescent="0.2">
      <c r="A38" t="s">
        <v>185</v>
      </c>
      <c r="B38" t="s">
        <v>186</v>
      </c>
      <c r="C38" s="2">
        <v>0.27269086999999997</v>
      </c>
      <c r="D38" s="2">
        <v>12.160679999999999</v>
      </c>
      <c r="E38" s="2">
        <v>47231.337</v>
      </c>
    </row>
    <row r="39" spans="1:5" x14ac:dyDescent="0.2">
      <c r="A39" t="s">
        <v>187</v>
      </c>
      <c r="B39" t="s">
        <v>188</v>
      </c>
      <c r="C39" s="2">
        <v>0.58094942000000005</v>
      </c>
      <c r="D39" s="2">
        <v>13.720050000000001</v>
      </c>
      <c r="E39" s="2">
        <v>4539.0874999999996</v>
      </c>
    </row>
    <row r="40" spans="1:5" x14ac:dyDescent="0.2">
      <c r="A40" t="s">
        <v>189</v>
      </c>
      <c r="B40" t="s">
        <v>190</v>
      </c>
      <c r="C40" s="2">
        <v>1.1045768</v>
      </c>
      <c r="D40" s="2">
        <v>30.385729999999999</v>
      </c>
      <c r="E40" s="2">
        <v>1970.2608</v>
      </c>
    </row>
    <row r="41" spans="1:5" x14ac:dyDescent="0.2">
      <c r="A41" t="s">
        <v>191</v>
      </c>
      <c r="B41" t="s">
        <v>192</v>
      </c>
      <c r="C41" s="2">
        <v>0.60176865000000002</v>
      </c>
      <c r="D41" s="2">
        <v>28.998100000000001</v>
      </c>
      <c r="E41" s="2">
        <v>920.96424000000002</v>
      </c>
    </row>
    <row r="42" spans="1:5" x14ac:dyDescent="0.2">
      <c r="A42" t="s">
        <v>193</v>
      </c>
      <c r="B42" t="s">
        <v>194</v>
      </c>
      <c r="C42" s="2">
        <v>0.58244293999999996</v>
      </c>
      <c r="D42" s="2">
        <v>31.370819999999998</v>
      </c>
      <c r="E42" s="2">
        <v>692.63210000000004</v>
      </c>
    </row>
    <row r="43" spans="1:5" x14ac:dyDescent="0.2">
      <c r="A43" t="s">
        <v>195</v>
      </c>
      <c r="B43" t="s">
        <v>196</v>
      </c>
      <c r="C43" s="2">
        <v>1.4136085</v>
      </c>
      <c r="D43" s="2">
        <v>30.1435</v>
      </c>
      <c r="E43" s="2">
        <v>637.54668000000004</v>
      </c>
    </row>
    <row r="44" spans="1:5" x14ac:dyDescent="0.2">
      <c r="A44" t="s">
        <v>197</v>
      </c>
      <c r="B44" t="s">
        <v>198</v>
      </c>
      <c r="C44" s="2">
        <v>0.27542728999999999</v>
      </c>
      <c r="D44" s="2">
        <v>20.203990000000001</v>
      </c>
      <c r="E44" s="2">
        <v>18639.998</v>
      </c>
    </row>
    <row r="45" spans="1:5" x14ac:dyDescent="0.2">
      <c r="A45" t="s">
        <v>199</v>
      </c>
      <c r="B45" t="s">
        <v>200</v>
      </c>
      <c r="C45" s="2">
        <v>0.47897487999999999</v>
      </c>
      <c r="D45" s="2">
        <v>21.05255</v>
      </c>
      <c r="E45" s="2">
        <v>2457.9666999999999</v>
      </c>
    </row>
    <row r="46" spans="1:5" x14ac:dyDescent="0.2">
      <c r="A46" t="s">
        <v>201</v>
      </c>
      <c r="B46" t="s">
        <v>202</v>
      </c>
      <c r="C46" s="2">
        <v>0.17287052999999999</v>
      </c>
      <c r="D46" s="2">
        <v>16.788530000000002</v>
      </c>
      <c r="E46" s="2">
        <v>13519.558999999999</v>
      </c>
    </row>
    <row r="47" spans="1:5" x14ac:dyDescent="0.2">
      <c r="A47" t="s">
        <v>203</v>
      </c>
      <c r="B47" t="s">
        <v>204</v>
      </c>
      <c r="C47" s="2">
        <v>1.4999814</v>
      </c>
      <c r="D47" s="2">
        <v>23.248950000000001</v>
      </c>
      <c r="E47" s="2">
        <v>1414.9993999999999</v>
      </c>
    </row>
    <row r="48" spans="1:5" x14ac:dyDescent="0.2">
      <c r="A48" t="s">
        <v>205</v>
      </c>
      <c r="B48" t="s">
        <v>206</v>
      </c>
      <c r="C48" s="2">
        <v>-4.3580769999999998E-2</v>
      </c>
      <c r="D48" s="2">
        <v>16.12199</v>
      </c>
      <c r="E48" s="2">
        <v>14379.444</v>
      </c>
    </row>
    <row r="49" spans="1:5" x14ac:dyDescent="0.2">
      <c r="A49" t="s">
        <v>207</v>
      </c>
      <c r="B49" t="s">
        <v>4</v>
      </c>
      <c r="C49" s="2">
        <v>9.1999999999999998E-2</v>
      </c>
      <c r="D49" s="2">
        <v>25.411930000000002</v>
      </c>
      <c r="E49" s="2">
        <v>3732.8670999999999</v>
      </c>
    </row>
    <row r="50" spans="1:5" x14ac:dyDescent="0.2">
      <c r="A50" t="s">
        <v>208</v>
      </c>
      <c r="B50" t="s">
        <v>209</v>
      </c>
      <c r="C50" s="2">
        <v>-0.30796466</v>
      </c>
      <c r="D50" s="2">
        <v>11.79086</v>
      </c>
      <c r="E50" s="2">
        <v>72578.437999999995</v>
      </c>
    </row>
    <row r="51" spans="1:5" x14ac:dyDescent="0.2">
      <c r="A51" t="s">
        <v>210</v>
      </c>
      <c r="B51" t="s">
        <v>211</v>
      </c>
      <c r="C51" s="2">
        <v>-0.23003656</v>
      </c>
      <c r="D51" s="2">
        <v>22.234999999999999</v>
      </c>
      <c r="E51" s="2">
        <v>5203.1695</v>
      </c>
    </row>
    <row r="52" spans="1:5" x14ac:dyDescent="0.2">
      <c r="A52" t="s">
        <v>212</v>
      </c>
      <c r="B52" t="s">
        <v>213</v>
      </c>
      <c r="C52" s="2">
        <v>0.29966659000000001</v>
      </c>
      <c r="D52" s="2">
        <v>3.3398330000000001</v>
      </c>
      <c r="E52" s="2">
        <v>57699.459000000003</v>
      </c>
    </row>
    <row r="53" spans="1:5" x14ac:dyDescent="0.2">
      <c r="A53" t="s">
        <v>214</v>
      </c>
      <c r="B53" t="s">
        <v>215</v>
      </c>
      <c r="C53" s="2">
        <v>-9.6595009999999995E-2</v>
      </c>
      <c r="D53" s="2">
        <v>25.71555</v>
      </c>
      <c r="E53" s="2">
        <v>38301.453999999998</v>
      </c>
    </row>
    <row r="54" spans="1:5" x14ac:dyDescent="0.2">
      <c r="A54" t="s">
        <v>216</v>
      </c>
      <c r="B54" t="s">
        <v>217</v>
      </c>
      <c r="C54" s="2">
        <v>0.20704781</v>
      </c>
      <c r="D54" s="2">
        <v>17.599329999999998</v>
      </c>
      <c r="E54" s="2">
        <v>31580.776999999998</v>
      </c>
    </row>
    <row r="55" spans="1:5" x14ac:dyDescent="0.2">
      <c r="A55" t="s">
        <v>218</v>
      </c>
      <c r="B55" t="s">
        <v>219</v>
      </c>
      <c r="C55" s="2">
        <v>-0.32543928</v>
      </c>
      <c r="D55" s="2">
        <v>26.855550000000001</v>
      </c>
      <c r="E55" s="2">
        <v>4109.7524000000003</v>
      </c>
    </row>
    <row r="56" spans="1:5" x14ac:dyDescent="0.2">
      <c r="A56" t="s">
        <v>220</v>
      </c>
      <c r="B56" t="s">
        <v>221</v>
      </c>
      <c r="C56" s="2">
        <v>-0.25746194999999999</v>
      </c>
      <c r="D56" s="2">
        <v>13.111789999999999</v>
      </c>
      <c r="E56" s="2">
        <v>36188.620000000003</v>
      </c>
    </row>
    <row r="57" spans="1:5" x14ac:dyDescent="0.2">
      <c r="A57" t="s">
        <v>222</v>
      </c>
      <c r="B57" t="s">
        <v>223</v>
      </c>
      <c r="C57" s="2">
        <v>-0.21246106000000001</v>
      </c>
      <c r="D57" s="2">
        <v>10.751329999999999</v>
      </c>
      <c r="E57" s="2">
        <v>11053.361999999999</v>
      </c>
    </row>
    <row r="58" spans="1:5" x14ac:dyDescent="0.2">
      <c r="A58" t="s">
        <v>224</v>
      </c>
      <c r="B58" t="s">
        <v>225</v>
      </c>
      <c r="C58" s="2">
        <v>1.1578641999999999</v>
      </c>
      <c r="D58" s="2">
        <v>27.308900000000001</v>
      </c>
      <c r="E58" s="2">
        <v>1559.2437</v>
      </c>
    </row>
    <row r="59" spans="1:5" x14ac:dyDescent="0.2">
      <c r="A59" t="s">
        <v>226</v>
      </c>
      <c r="B59" t="s">
        <v>227</v>
      </c>
      <c r="C59" s="2">
        <v>-0.74974390999999996</v>
      </c>
      <c r="D59" s="2">
        <v>4.8061680000000004</v>
      </c>
      <c r="E59" s="2">
        <v>1197.6107</v>
      </c>
    </row>
    <row r="60" spans="1:5" x14ac:dyDescent="0.2">
      <c r="A60" t="s">
        <v>228</v>
      </c>
      <c r="B60" t="s">
        <v>229</v>
      </c>
      <c r="C60" s="2">
        <v>0.30148036</v>
      </c>
      <c r="D60" s="2">
        <v>24.454619999999998</v>
      </c>
      <c r="E60" s="2">
        <v>2483.1615999999999</v>
      </c>
    </row>
    <row r="61" spans="1:5" x14ac:dyDescent="0.2">
      <c r="A61" t="s">
        <v>230</v>
      </c>
      <c r="B61" t="s">
        <v>231</v>
      </c>
      <c r="C61" s="2">
        <v>-0.30419508000000001</v>
      </c>
      <c r="D61" s="2">
        <v>19.70533</v>
      </c>
      <c r="E61" s="2">
        <v>7345.1341000000002</v>
      </c>
    </row>
    <row r="62" spans="1:5" x14ac:dyDescent="0.2">
      <c r="A62" t="s">
        <v>232</v>
      </c>
      <c r="B62" t="s">
        <v>233</v>
      </c>
      <c r="C62" s="2">
        <v>-6.2309209999999997E-2</v>
      </c>
      <c r="D62" s="2">
        <v>27.916689999999999</v>
      </c>
      <c r="E62" s="2">
        <v>4157.2839000000004</v>
      </c>
    </row>
    <row r="63" spans="1:5" x14ac:dyDescent="0.2">
      <c r="A63" t="s">
        <v>234</v>
      </c>
      <c r="B63" t="s">
        <v>235</v>
      </c>
      <c r="C63" s="2">
        <v>2.0359511000000001</v>
      </c>
      <c r="D63" s="2">
        <v>18.044530000000002</v>
      </c>
      <c r="E63" s="2">
        <v>1109.2559000000001</v>
      </c>
    </row>
    <row r="64" spans="1:5" x14ac:dyDescent="0.2">
      <c r="A64" t="s">
        <v>236</v>
      </c>
      <c r="B64" t="s">
        <v>237</v>
      </c>
      <c r="C64" s="2">
        <v>0.13338016999999999</v>
      </c>
      <c r="D64" s="2">
        <v>11.071440000000001</v>
      </c>
      <c r="E64" s="2">
        <v>16436.973999999998</v>
      </c>
    </row>
    <row r="65" spans="1:5" x14ac:dyDescent="0.2">
      <c r="A65" t="s">
        <v>238</v>
      </c>
      <c r="B65" t="s">
        <v>239</v>
      </c>
      <c r="C65" s="2">
        <v>0.40576554999999997</v>
      </c>
      <c r="D65" s="2">
        <v>12.990589999999999</v>
      </c>
      <c r="E65" s="2">
        <v>107158.74</v>
      </c>
    </row>
    <row r="66" spans="1:5" x14ac:dyDescent="0.2">
      <c r="A66" t="s">
        <v>240</v>
      </c>
      <c r="B66" t="s">
        <v>241</v>
      </c>
      <c r="C66" s="2">
        <v>0.31403529000000002</v>
      </c>
      <c r="D66" s="2">
        <v>10.35524</v>
      </c>
      <c r="E66" s="2">
        <v>15552.02</v>
      </c>
    </row>
    <row r="67" spans="1:5" x14ac:dyDescent="0.2">
      <c r="A67" t="s">
        <v>242</v>
      </c>
      <c r="B67" t="s">
        <v>243</v>
      </c>
      <c r="C67" s="2">
        <v>-0.31101294000000002</v>
      </c>
      <c r="D67" s="2">
        <v>23.190940000000001</v>
      </c>
      <c r="E67" s="2">
        <v>3004.6322</v>
      </c>
    </row>
    <row r="68" spans="1:5" x14ac:dyDescent="0.2">
      <c r="A68" t="s">
        <v>244</v>
      </c>
      <c r="B68" t="s">
        <v>245</v>
      </c>
      <c r="C68" s="2">
        <v>-4.2000009999999997E-2</v>
      </c>
      <c r="D68" s="2">
        <v>15.095940000000001</v>
      </c>
      <c r="E68" s="2">
        <v>3260.5273999999999</v>
      </c>
    </row>
    <row r="69" spans="1:5" x14ac:dyDescent="0.2">
      <c r="A69" t="s">
        <v>246</v>
      </c>
      <c r="B69" t="s">
        <v>247</v>
      </c>
      <c r="C69" s="2">
        <v>3.3779479000000001</v>
      </c>
      <c r="D69" s="2">
        <v>26.20157</v>
      </c>
      <c r="E69" s="2">
        <v>480.88889</v>
      </c>
    </row>
    <row r="70" spans="1:5" x14ac:dyDescent="0.2">
      <c r="A70" t="s">
        <v>248</v>
      </c>
      <c r="B70" t="s">
        <v>249</v>
      </c>
      <c r="C70" s="2">
        <v>3.3408779999999999E-2</v>
      </c>
      <c r="D70" s="2"/>
      <c r="E70" s="2"/>
    </row>
    <row r="71" spans="1:5" x14ac:dyDescent="0.2">
      <c r="A71" t="s">
        <v>250</v>
      </c>
      <c r="B71" t="s">
        <v>251</v>
      </c>
      <c r="C71" s="2">
        <v>2.3997850000000001E-2</v>
      </c>
      <c r="D71" s="2">
        <v>16.492149999999999</v>
      </c>
      <c r="E71" s="2">
        <v>9945.7767999999996</v>
      </c>
    </row>
    <row r="72" spans="1:5" x14ac:dyDescent="0.2">
      <c r="A72" t="s">
        <v>252</v>
      </c>
      <c r="B72" t="s">
        <v>253</v>
      </c>
      <c r="C72" s="2">
        <v>0.26924164</v>
      </c>
      <c r="D72" s="2">
        <v>17.561910000000001</v>
      </c>
      <c r="E72" s="2">
        <v>5184.6944999999996</v>
      </c>
    </row>
    <row r="73" spans="1:5" x14ac:dyDescent="0.2">
      <c r="A73" t="s">
        <v>254</v>
      </c>
      <c r="B73" t="s">
        <v>255</v>
      </c>
      <c r="C73" s="2">
        <v>0.32277802999999999</v>
      </c>
      <c r="D73" s="2">
        <v>33.249989999999997</v>
      </c>
      <c r="E73" s="2">
        <v>802.03362000000004</v>
      </c>
    </row>
    <row r="74" spans="1:5" x14ac:dyDescent="0.2">
      <c r="A74" t="s">
        <v>256</v>
      </c>
      <c r="B74" t="s">
        <v>257</v>
      </c>
      <c r="C74" s="2">
        <v>0.1189742</v>
      </c>
      <c r="D74" s="2">
        <v>19.938549999999999</v>
      </c>
      <c r="E74" s="2">
        <v>27090.932000000001</v>
      </c>
    </row>
    <row r="75" spans="1:5" x14ac:dyDescent="0.2">
      <c r="A75" t="s">
        <v>258</v>
      </c>
      <c r="B75" t="s">
        <v>259</v>
      </c>
      <c r="C75" s="2">
        <v>-0.26444730999999999</v>
      </c>
      <c r="D75" s="2">
        <v>26.580390000000001</v>
      </c>
      <c r="E75" s="2">
        <v>1459.643</v>
      </c>
    </row>
    <row r="76" spans="1:5" x14ac:dyDescent="0.2">
      <c r="A76" t="s">
        <v>260</v>
      </c>
      <c r="B76" t="s">
        <v>261</v>
      </c>
      <c r="C76" s="2">
        <v>0.40402470000000001</v>
      </c>
      <c r="D76" s="2">
        <v>15.454829999999999</v>
      </c>
      <c r="E76" s="2">
        <v>7378.5002999999997</v>
      </c>
    </row>
    <row r="77" spans="1:5" x14ac:dyDescent="0.2">
      <c r="A77" t="s">
        <v>262</v>
      </c>
      <c r="B77" t="s">
        <v>263</v>
      </c>
      <c r="C77" s="2">
        <v>-0.55339457999999997</v>
      </c>
      <c r="D77" s="2">
        <v>2.568524</v>
      </c>
      <c r="E77" s="2">
        <v>4233.9727000000003</v>
      </c>
    </row>
    <row r="78" spans="1:5" x14ac:dyDescent="0.2">
      <c r="A78" t="s">
        <v>264</v>
      </c>
      <c r="B78" t="s">
        <v>265</v>
      </c>
      <c r="C78" s="2">
        <v>2.2771069000000002</v>
      </c>
      <c r="D78" s="2">
        <v>28.2332</v>
      </c>
      <c r="E78" s="2">
        <v>602.53011000000004</v>
      </c>
    </row>
    <row r="79" spans="1:5" x14ac:dyDescent="0.2">
      <c r="A79" t="s">
        <v>266</v>
      </c>
      <c r="B79" t="s">
        <v>267</v>
      </c>
      <c r="C79" s="2">
        <v>0.14647476000000001</v>
      </c>
      <c r="D79" s="2">
        <v>32.121220000000001</v>
      </c>
      <c r="E79" s="2">
        <v>1575.3122000000001</v>
      </c>
    </row>
    <row r="80" spans="1:5" x14ac:dyDescent="0.2">
      <c r="A80" t="s">
        <v>268</v>
      </c>
      <c r="B80" t="s">
        <v>269</v>
      </c>
      <c r="C80" s="2">
        <v>-6.0207300000000002E-3</v>
      </c>
      <c r="D80" s="2">
        <v>24.74736</v>
      </c>
      <c r="E80" s="2">
        <v>10335.849</v>
      </c>
    </row>
    <row r="81" spans="1:5" x14ac:dyDescent="0.2">
      <c r="A81" t="s">
        <v>270</v>
      </c>
      <c r="B81" t="s">
        <v>271</v>
      </c>
      <c r="C81" s="2">
        <v>2.7689675</v>
      </c>
      <c r="D81" s="2">
        <v>26.81908</v>
      </c>
      <c r="E81" s="2">
        <v>390.84071</v>
      </c>
    </row>
    <row r="82" spans="1:5" x14ac:dyDescent="0.2">
      <c r="A82" t="s">
        <v>272</v>
      </c>
      <c r="B82" t="s">
        <v>273</v>
      </c>
      <c r="C82" s="2">
        <v>-0.15922421</v>
      </c>
      <c r="D82" s="2">
        <v>27.073440000000002</v>
      </c>
      <c r="E82" s="2">
        <v>11075.575999999999</v>
      </c>
    </row>
    <row r="83" spans="1:5" x14ac:dyDescent="0.2">
      <c r="A83" t="s">
        <v>274</v>
      </c>
      <c r="B83" t="s">
        <v>275</v>
      </c>
      <c r="C83" s="2">
        <v>0.42705134</v>
      </c>
      <c r="D83" s="2">
        <v>29.297720000000002</v>
      </c>
      <c r="E83" s="2">
        <v>4632.3909000000003</v>
      </c>
    </row>
    <row r="84" spans="1:5" x14ac:dyDescent="0.2">
      <c r="A84" t="s">
        <v>276</v>
      </c>
      <c r="B84" t="s">
        <v>277</v>
      </c>
      <c r="C84" s="2">
        <v>1.1485288</v>
      </c>
      <c r="D84" s="2">
        <v>31.054860000000001</v>
      </c>
      <c r="E84" s="2">
        <v>2512.1923999999999</v>
      </c>
    </row>
    <row r="85" spans="1:5" x14ac:dyDescent="0.2">
      <c r="A85" t="s">
        <v>278</v>
      </c>
      <c r="B85" t="s">
        <v>279</v>
      </c>
      <c r="C85" s="2">
        <v>0.22719038999999999</v>
      </c>
      <c r="D85" s="2">
        <v>13.753629999999999</v>
      </c>
      <c r="E85" s="2">
        <v>47807.589</v>
      </c>
    </row>
    <row r="86" spans="1:5" x14ac:dyDescent="0.2">
      <c r="A86" t="s">
        <v>280</v>
      </c>
      <c r="B86" t="s">
        <v>281</v>
      </c>
      <c r="C86" s="2">
        <v>0.72036266000000004</v>
      </c>
      <c r="D86" s="2">
        <v>4.7148899999999996</v>
      </c>
      <c r="E86" s="2">
        <v>75953.581999999995</v>
      </c>
    </row>
    <row r="87" spans="1:5" x14ac:dyDescent="0.2">
      <c r="A87" t="s">
        <v>282</v>
      </c>
      <c r="B87" t="s">
        <v>283</v>
      </c>
      <c r="C87" s="2">
        <v>-3.4075189999999998E-2</v>
      </c>
      <c r="D87" s="2">
        <v>17.75873</v>
      </c>
      <c r="E87" s="2">
        <v>1021.3319</v>
      </c>
    </row>
    <row r="88" spans="1:5" x14ac:dyDescent="0.2">
      <c r="A88" t="s">
        <v>284</v>
      </c>
      <c r="B88" t="s">
        <v>285</v>
      </c>
      <c r="C88" s="2">
        <v>-3.5947510000000002E-2</v>
      </c>
      <c r="D88" s="2">
        <v>27.372879999999999</v>
      </c>
      <c r="E88" s="2">
        <v>1502.8913</v>
      </c>
    </row>
    <row r="89" spans="1:5" x14ac:dyDescent="0.2">
      <c r="A89" t="s">
        <v>286</v>
      </c>
      <c r="B89" t="s">
        <v>287</v>
      </c>
      <c r="C89" s="2">
        <v>0.24288245</v>
      </c>
      <c r="D89" s="2">
        <v>23.749490000000002</v>
      </c>
      <c r="E89" s="2">
        <v>14880.663</v>
      </c>
    </row>
    <row r="90" spans="1:5" x14ac:dyDescent="0.2">
      <c r="A90" t="s">
        <v>288</v>
      </c>
      <c r="B90" t="s">
        <v>289</v>
      </c>
      <c r="C90" s="2">
        <v>0.17627896000000001</v>
      </c>
      <c r="D90" s="2">
        <v>13.556749999999999</v>
      </c>
      <c r="E90" s="2">
        <v>6574.3167000000003</v>
      </c>
    </row>
    <row r="91" spans="1:5" x14ac:dyDescent="0.2">
      <c r="A91" t="s">
        <v>290</v>
      </c>
      <c r="B91" t="s">
        <v>291</v>
      </c>
      <c r="C91" s="2">
        <v>2.3582189999999999E-2</v>
      </c>
      <c r="D91" s="2">
        <v>25.993790000000001</v>
      </c>
      <c r="E91" s="2">
        <v>3500.9337999999998</v>
      </c>
    </row>
    <row r="92" spans="1:5" x14ac:dyDescent="0.2">
      <c r="A92" t="s">
        <v>292</v>
      </c>
      <c r="B92" t="s">
        <v>293</v>
      </c>
      <c r="C92" s="2">
        <v>6.9608400000000003E-3</v>
      </c>
      <c r="D92" s="2">
        <v>13.005929999999999</v>
      </c>
      <c r="E92" s="2">
        <v>14332.915999999999</v>
      </c>
    </row>
    <row r="93" spans="1:5" x14ac:dyDescent="0.2">
      <c r="A93" t="s">
        <v>294</v>
      </c>
      <c r="B93" t="s">
        <v>295</v>
      </c>
      <c r="C93" s="2">
        <v>0.12727864999999999</v>
      </c>
      <c r="D93" s="2">
        <v>19.055610000000001</v>
      </c>
      <c r="E93" s="2">
        <v>21049.151000000002</v>
      </c>
    </row>
    <row r="94" spans="1:5" x14ac:dyDescent="0.2">
      <c r="A94" t="s">
        <v>296</v>
      </c>
      <c r="B94" t="s">
        <v>297</v>
      </c>
      <c r="C94" s="2">
        <v>-0.12592647000000001</v>
      </c>
      <c r="D94" s="2">
        <v>21.170729999999999</v>
      </c>
      <c r="E94" s="2">
        <v>5871.2812999999996</v>
      </c>
    </row>
    <row r="95" spans="1:5" x14ac:dyDescent="0.2">
      <c r="A95" t="s">
        <v>298</v>
      </c>
      <c r="B95" t="s">
        <v>299</v>
      </c>
      <c r="C95" s="2">
        <v>0.22559525999999999</v>
      </c>
      <c r="D95" s="2">
        <v>15.292770000000001</v>
      </c>
      <c r="E95" s="2">
        <v>10714.014999999999</v>
      </c>
    </row>
    <row r="96" spans="1:5" x14ac:dyDescent="0.2">
      <c r="A96" t="s">
        <v>300</v>
      </c>
      <c r="B96" t="s">
        <v>301</v>
      </c>
      <c r="C96" s="2">
        <v>-1.9128220000000001E-2</v>
      </c>
      <c r="D96" s="2">
        <v>7.5072570000000001</v>
      </c>
      <c r="E96" s="2">
        <v>9739.8999000000003</v>
      </c>
    </row>
    <row r="97" spans="1:5" x14ac:dyDescent="0.2">
      <c r="A97" t="s">
        <v>302</v>
      </c>
      <c r="B97" t="s">
        <v>303</v>
      </c>
      <c r="C97" s="2">
        <v>2.206531</v>
      </c>
      <c r="D97" s="2">
        <v>24.771249999999998</v>
      </c>
      <c r="E97" s="2">
        <v>830.42934000000002</v>
      </c>
    </row>
    <row r="98" spans="1:5" x14ac:dyDescent="0.2">
      <c r="A98" t="s">
        <v>304</v>
      </c>
      <c r="B98" t="s">
        <v>305</v>
      </c>
      <c r="C98" s="2">
        <v>-0.21012086999999999</v>
      </c>
      <c r="D98" s="2">
        <v>34.705509999999997</v>
      </c>
      <c r="E98" s="2">
        <v>1254.8590999999999</v>
      </c>
    </row>
    <row r="99" spans="1:5" x14ac:dyDescent="0.2">
      <c r="A99" t="s">
        <v>306</v>
      </c>
      <c r="B99" t="s">
        <v>307</v>
      </c>
      <c r="C99" s="2">
        <v>0.90636404000000004</v>
      </c>
      <c r="D99" s="2">
        <v>31.51718</v>
      </c>
      <c r="E99" s="2">
        <v>1360.2393</v>
      </c>
    </row>
    <row r="100" spans="1:5" x14ac:dyDescent="0.2">
      <c r="A100" t="s">
        <v>308</v>
      </c>
      <c r="B100" t="s">
        <v>309</v>
      </c>
      <c r="C100" s="2">
        <v>0.7047407</v>
      </c>
      <c r="D100" s="2">
        <v>25.674520000000001</v>
      </c>
      <c r="E100" s="2">
        <v>2321.136</v>
      </c>
    </row>
    <row r="101" spans="1:5" x14ac:dyDescent="0.2">
      <c r="A101" t="s">
        <v>310</v>
      </c>
      <c r="B101" t="s">
        <v>311</v>
      </c>
      <c r="C101" s="2">
        <v>5.7725230000000002E-2</v>
      </c>
      <c r="D101" s="2">
        <v>23.31484</v>
      </c>
      <c r="E101" s="2">
        <v>3920.5263</v>
      </c>
    </row>
    <row r="102" spans="1:5" x14ac:dyDescent="0.2">
      <c r="A102" t="s">
        <v>312</v>
      </c>
      <c r="B102" t="s">
        <v>313</v>
      </c>
      <c r="C102" s="2">
        <v>-4.2891200000000004E-3</v>
      </c>
      <c r="D102" s="2">
        <v>13.82987</v>
      </c>
      <c r="E102" s="2">
        <v>17723.021000000001</v>
      </c>
    </row>
    <row r="103" spans="1:5" x14ac:dyDescent="0.2">
      <c r="A103" t="s">
        <v>314</v>
      </c>
      <c r="B103" t="s">
        <v>315</v>
      </c>
      <c r="C103" s="2">
        <v>-9.4285510000000003E-2</v>
      </c>
      <c r="D103" s="2">
        <v>14.9457</v>
      </c>
      <c r="E103" s="2">
        <v>23466.931</v>
      </c>
    </row>
    <row r="104" spans="1:5" x14ac:dyDescent="0.2">
      <c r="A104" t="s">
        <v>316</v>
      </c>
      <c r="B104" t="s">
        <v>317</v>
      </c>
      <c r="C104" s="2">
        <v>0.19554270000000001</v>
      </c>
      <c r="D104" s="2">
        <v>8.7105759999999997</v>
      </c>
      <c r="E104" s="2">
        <v>52983.006999999998</v>
      </c>
    </row>
    <row r="105" spans="1:5" x14ac:dyDescent="0.2">
      <c r="A105" t="s">
        <v>318</v>
      </c>
      <c r="B105" t="s">
        <v>319</v>
      </c>
      <c r="C105" s="2">
        <v>1.5189568</v>
      </c>
      <c r="D105" s="2">
        <v>30.582560000000001</v>
      </c>
      <c r="E105" s="2">
        <v>612.78575000000001</v>
      </c>
    </row>
    <row r="106" spans="1:5" x14ac:dyDescent="0.2">
      <c r="A106" t="s">
        <v>320</v>
      </c>
      <c r="B106" t="s">
        <v>321</v>
      </c>
      <c r="C106" s="2">
        <v>-0.19639409999999999</v>
      </c>
      <c r="D106" s="2">
        <v>28.08934</v>
      </c>
      <c r="E106" s="2">
        <v>6489.2572</v>
      </c>
    </row>
    <row r="107" spans="1:5" x14ac:dyDescent="0.2">
      <c r="A107" t="s">
        <v>322</v>
      </c>
      <c r="B107" t="s">
        <v>323</v>
      </c>
      <c r="C107" s="2">
        <v>-9.4634330000000003E-2</v>
      </c>
      <c r="D107" s="2">
        <v>24.187809999999999</v>
      </c>
      <c r="E107" s="2">
        <v>4676.7781999999997</v>
      </c>
    </row>
    <row r="108" spans="1:5" x14ac:dyDescent="0.2">
      <c r="A108" t="s">
        <v>324</v>
      </c>
      <c r="B108" t="s">
        <v>325</v>
      </c>
      <c r="C108" s="2">
        <v>-0.25764967</v>
      </c>
      <c r="D108" s="2">
        <v>24.036460000000002</v>
      </c>
      <c r="E108" s="2">
        <v>4195.2510000000002</v>
      </c>
    </row>
    <row r="109" spans="1:5" x14ac:dyDescent="0.2">
      <c r="A109" t="s">
        <v>326</v>
      </c>
      <c r="B109" t="s">
        <v>327</v>
      </c>
      <c r="C109" s="2">
        <v>1.577161</v>
      </c>
      <c r="D109" s="2">
        <v>27.401579999999999</v>
      </c>
      <c r="E109" s="2">
        <v>1042.9876999999999</v>
      </c>
    </row>
    <row r="110" spans="1:5" x14ac:dyDescent="0.2">
      <c r="A110" t="s">
        <v>328</v>
      </c>
      <c r="B110" t="s">
        <v>329</v>
      </c>
      <c r="C110" s="2">
        <v>1.4963382000000001</v>
      </c>
      <c r="D110" s="2">
        <v>27.38466</v>
      </c>
      <c r="E110" s="2">
        <v>870.70874000000003</v>
      </c>
    </row>
    <row r="111" spans="1:5" x14ac:dyDescent="0.2">
      <c r="A111" t="s">
        <v>330</v>
      </c>
      <c r="B111" t="s">
        <v>331</v>
      </c>
      <c r="C111" s="2">
        <v>-9.9699490000000002E-2</v>
      </c>
      <c r="D111" s="2">
        <v>13.75441</v>
      </c>
      <c r="E111" s="2">
        <v>2336.9762999999998</v>
      </c>
    </row>
    <row r="112" spans="1:5" x14ac:dyDescent="0.2">
      <c r="A112" t="s">
        <v>332</v>
      </c>
      <c r="B112" t="s">
        <v>333</v>
      </c>
      <c r="C112" s="2">
        <v>0.14888988</v>
      </c>
      <c r="D112" s="2">
        <v>8.7544760000000004</v>
      </c>
      <c r="E112" s="2">
        <v>59821.591999999997</v>
      </c>
    </row>
    <row r="113" spans="1:5" x14ac:dyDescent="0.2">
      <c r="A113" t="s">
        <v>334</v>
      </c>
      <c r="B113" t="s">
        <v>335</v>
      </c>
      <c r="C113" s="2">
        <v>-0.21720681</v>
      </c>
      <c r="D113" s="2">
        <v>25.259409999999999</v>
      </c>
      <c r="E113" s="2">
        <v>2456.7912000000001</v>
      </c>
    </row>
    <row r="114" spans="1:5" x14ac:dyDescent="0.2">
      <c r="A114" t="s">
        <v>336</v>
      </c>
      <c r="B114" t="s">
        <v>337</v>
      </c>
      <c r="C114" s="2">
        <v>0.36965364000000001</v>
      </c>
      <c r="D114" s="2">
        <v>25.41976</v>
      </c>
      <c r="E114" s="2">
        <v>2860.0124999999998</v>
      </c>
    </row>
    <row r="115" spans="1:5" x14ac:dyDescent="0.2">
      <c r="A115" t="s">
        <v>338</v>
      </c>
      <c r="B115" t="s">
        <v>339</v>
      </c>
      <c r="C115" s="2">
        <v>0.82714935000000001</v>
      </c>
      <c r="D115" s="2">
        <v>24.392379999999999</v>
      </c>
      <c r="E115" s="2">
        <v>6199.8917000000001</v>
      </c>
    </row>
    <row r="116" spans="1:5" x14ac:dyDescent="0.2">
      <c r="A116" t="s">
        <v>340</v>
      </c>
      <c r="B116" t="s">
        <v>341</v>
      </c>
      <c r="C116" s="2">
        <v>2.6787611</v>
      </c>
      <c r="D116" s="2">
        <v>27.783059999999999</v>
      </c>
      <c r="E116" s="2">
        <v>1368.6017999999999</v>
      </c>
    </row>
    <row r="117" spans="1:5" x14ac:dyDescent="0.2">
      <c r="A117" t="s">
        <v>342</v>
      </c>
      <c r="B117" t="s">
        <v>343</v>
      </c>
      <c r="C117" s="2">
        <v>1.3956550999999999</v>
      </c>
      <c r="D117" s="2">
        <v>27.059139999999999</v>
      </c>
      <c r="E117" s="2">
        <v>1529.0264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E495-FA5B-F248-A785-39BBADF644C7}">
  <dimension ref="A1:E123"/>
  <sheetViews>
    <sheetView tabSelected="1" workbookViewId="0">
      <selection activeCell="I34" sqref="I34"/>
    </sheetView>
  </sheetViews>
  <sheetFormatPr baseColWidth="10" defaultRowHeight="16" x14ac:dyDescent="0.2"/>
  <sheetData>
    <row r="1" spans="1:5" x14ac:dyDescent="0.2">
      <c r="A1" t="s">
        <v>111</v>
      </c>
      <c r="B1" t="s">
        <v>0</v>
      </c>
      <c r="C1" t="s">
        <v>90</v>
      </c>
      <c r="D1" t="s">
        <v>73</v>
      </c>
      <c r="E1" t="s">
        <v>112</v>
      </c>
    </row>
    <row r="2" spans="1:5" x14ac:dyDescent="0.2">
      <c r="A2" t="s">
        <v>113</v>
      </c>
      <c r="B2" t="s">
        <v>114</v>
      </c>
      <c r="C2" s="2">
        <v>0.34372988999999998</v>
      </c>
      <c r="D2" s="2">
        <v>27.930800000000001</v>
      </c>
      <c r="E2" s="2">
        <v>3595.1066999999998</v>
      </c>
    </row>
    <row r="3" spans="1:5" x14ac:dyDescent="0.2">
      <c r="A3" t="s">
        <v>115</v>
      </c>
      <c r="B3" t="s">
        <v>116</v>
      </c>
      <c r="C3" s="2">
        <v>-0.29911465999999998</v>
      </c>
      <c r="D3" s="2">
        <v>17.779150000000001</v>
      </c>
      <c r="E3" s="2">
        <v>4431.5392000000002</v>
      </c>
    </row>
    <row r="4" spans="1:5" x14ac:dyDescent="0.2">
      <c r="A4" t="s">
        <v>117</v>
      </c>
      <c r="B4" t="s">
        <v>118</v>
      </c>
      <c r="C4" s="2">
        <v>-0.6693325</v>
      </c>
      <c r="D4" s="2">
        <v>13.08888</v>
      </c>
      <c r="E4" s="2">
        <v>4051.3850000000002</v>
      </c>
    </row>
    <row r="5" spans="1:5" x14ac:dyDescent="0.2">
      <c r="A5" t="s">
        <v>121</v>
      </c>
      <c r="B5" t="s">
        <v>122</v>
      </c>
      <c r="C5" s="2">
        <v>-0.43148019999999998</v>
      </c>
      <c r="D5" s="2">
        <v>11.59896</v>
      </c>
      <c r="E5" s="2">
        <v>46170.394999999997</v>
      </c>
    </row>
    <row r="6" spans="1:5" x14ac:dyDescent="0.2">
      <c r="A6" t="s">
        <v>344</v>
      </c>
      <c r="B6" t="s">
        <v>345</v>
      </c>
      <c r="C6" s="2">
        <v>-0.80863253000000002</v>
      </c>
      <c r="D6" s="2">
        <v>16.645810000000001</v>
      </c>
      <c r="E6" s="2">
        <v>5262.1837999999998</v>
      </c>
    </row>
    <row r="7" spans="1:5" x14ac:dyDescent="0.2">
      <c r="A7" t="s">
        <v>123</v>
      </c>
      <c r="B7" t="s">
        <v>124</v>
      </c>
      <c r="C7" s="2">
        <v>-0.20316429999999999</v>
      </c>
      <c r="D7" s="2">
        <v>24.590910000000001</v>
      </c>
      <c r="E7" s="2">
        <v>281.97023000000002</v>
      </c>
    </row>
    <row r="8" spans="1:5" x14ac:dyDescent="0.2">
      <c r="A8" t="s">
        <v>125</v>
      </c>
      <c r="B8" t="s">
        <v>126</v>
      </c>
      <c r="C8" s="2">
        <v>-0.34743178000000002</v>
      </c>
      <c r="D8" s="2">
        <v>13.66006</v>
      </c>
      <c r="E8" s="2">
        <v>42376.205999999998</v>
      </c>
    </row>
    <row r="9" spans="1:5" x14ac:dyDescent="0.2">
      <c r="A9" t="s">
        <v>127</v>
      </c>
      <c r="B9" t="s">
        <v>128</v>
      </c>
      <c r="C9" s="2">
        <v>0.13675239</v>
      </c>
      <c r="D9" s="2">
        <v>30.5519</v>
      </c>
      <c r="E9" s="2">
        <v>1155.3132000000001</v>
      </c>
    </row>
    <row r="10" spans="1:5" x14ac:dyDescent="0.2">
      <c r="A10" t="s">
        <v>129</v>
      </c>
      <c r="B10" t="s">
        <v>130</v>
      </c>
      <c r="C10" s="2">
        <v>-9.6612989999999996E-2</v>
      </c>
      <c r="D10" s="2">
        <v>32.96837</v>
      </c>
      <c r="E10" s="2">
        <v>718.64256</v>
      </c>
    </row>
    <row r="11" spans="1:5" x14ac:dyDescent="0.2">
      <c r="A11" t="s">
        <v>131</v>
      </c>
      <c r="B11" t="s">
        <v>132</v>
      </c>
      <c r="C11" s="2">
        <v>-0.27762585000000001</v>
      </c>
      <c r="D11" s="2">
        <v>27.505939999999999</v>
      </c>
      <c r="E11" s="2">
        <v>1498.3878999999999</v>
      </c>
    </row>
    <row r="12" spans="1:5" x14ac:dyDescent="0.2">
      <c r="A12" t="s">
        <v>346</v>
      </c>
      <c r="B12" t="s">
        <v>347</v>
      </c>
      <c r="C12" s="2">
        <v>-0.25197199999999997</v>
      </c>
      <c r="D12" s="2">
        <v>15.50422</v>
      </c>
      <c r="E12" s="2">
        <v>5387.2694000000001</v>
      </c>
    </row>
    <row r="13" spans="1:5" x14ac:dyDescent="0.2">
      <c r="A13" t="s">
        <v>133</v>
      </c>
      <c r="B13" t="s">
        <v>134</v>
      </c>
      <c r="C13" s="2">
        <v>-1.1754116999999999</v>
      </c>
      <c r="D13" s="2">
        <v>11.483000000000001</v>
      </c>
      <c r="E13" s="2">
        <v>6165.9093000000003</v>
      </c>
    </row>
    <row r="14" spans="1:5" x14ac:dyDescent="0.2">
      <c r="A14" t="s">
        <v>135</v>
      </c>
      <c r="B14" t="s">
        <v>136</v>
      </c>
      <c r="C14" s="2">
        <v>0.55722526000000006</v>
      </c>
      <c r="D14" s="2">
        <v>14.84277</v>
      </c>
      <c r="E14" s="2">
        <v>3291.1563999999998</v>
      </c>
    </row>
    <row r="15" spans="1:5" x14ac:dyDescent="0.2">
      <c r="A15" t="s">
        <v>137</v>
      </c>
      <c r="B15" t="s">
        <v>138</v>
      </c>
      <c r="C15" s="2">
        <v>0.73012485000000005</v>
      </c>
      <c r="D15" s="2">
        <v>24.549309999999998</v>
      </c>
      <c r="E15" s="2">
        <v>8582.3385999999991</v>
      </c>
    </row>
    <row r="16" spans="1:5" x14ac:dyDescent="0.2">
      <c r="A16" t="s">
        <v>139</v>
      </c>
      <c r="B16" t="s">
        <v>140</v>
      </c>
      <c r="C16" s="2">
        <v>-1.5872629999999999E-2</v>
      </c>
      <c r="D16" s="2">
        <v>14.757350000000001</v>
      </c>
      <c r="E16" s="2">
        <v>3097.1484</v>
      </c>
    </row>
    <row r="17" spans="1:5" x14ac:dyDescent="0.2">
      <c r="A17" t="s">
        <v>141</v>
      </c>
      <c r="B17" t="s">
        <v>142</v>
      </c>
      <c r="C17" s="2">
        <v>0.48010513999999999</v>
      </c>
      <c r="D17" s="2">
        <v>29.904499999999999</v>
      </c>
      <c r="E17" s="2">
        <v>6973.0987999999998</v>
      </c>
    </row>
    <row r="18" spans="1:5" x14ac:dyDescent="0.2">
      <c r="A18" t="s">
        <v>145</v>
      </c>
      <c r="B18" t="s">
        <v>146</v>
      </c>
      <c r="C18" s="2">
        <v>-0.18088799</v>
      </c>
      <c r="D18" s="2">
        <v>8.9538349999999998</v>
      </c>
      <c r="E18" s="2">
        <v>87980.671000000002</v>
      </c>
    </row>
    <row r="19" spans="1:5" x14ac:dyDescent="0.2">
      <c r="A19" t="s">
        <v>147</v>
      </c>
      <c r="B19" t="s">
        <v>148</v>
      </c>
      <c r="C19" s="2">
        <v>0.93814301</v>
      </c>
      <c r="D19" s="2">
        <v>7.0608009999999997</v>
      </c>
      <c r="E19" s="2">
        <v>13901.018</v>
      </c>
    </row>
    <row r="20" spans="1:5" x14ac:dyDescent="0.2">
      <c r="A20" t="s">
        <v>149</v>
      </c>
      <c r="B20" t="s">
        <v>150</v>
      </c>
      <c r="C20" s="2">
        <v>-1.738497E-2</v>
      </c>
      <c r="D20" s="2">
        <v>29.61918</v>
      </c>
      <c r="E20" s="2">
        <v>2247.7766000000001</v>
      </c>
    </row>
    <row r="21" spans="1:5" x14ac:dyDescent="0.2">
      <c r="A21" t="s">
        <v>151</v>
      </c>
      <c r="B21" t="s">
        <v>152</v>
      </c>
      <c r="C21" s="2">
        <v>0.13625820999999999</v>
      </c>
      <c r="D21" s="2">
        <v>28.851780000000002</v>
      </c>
      <c r="E21" s="2">
        <v>1437.2715000000001</v>
      </c>
    </row>
    <row r="22" spans="1:5" x14ac:dyDescent="0.2">
      <c r="A22" t="s">
        <v>153</v>
      </c>
      <c r="B22" t="s">
        <v>154</v>
      </c>
      <c r="C22" s="2">
        <v>-7.1387909999999999E-2</v>
      </c>
      <c r="D22" s="2">
        <v>28.492629999999998</v>
      </c>
      <c r="E22" s="2">
        <v>506.95827000000003</v>
      </c>
    </row>
    <row r="23" spans="1:5" x14ac:dyDescent="0.2">
      <c r="A23" t="s">
        <v>358</v>
      </c>
      <c r="B23" t="s">
        <v>348</v>
      </c>
      <c r="C23" s="2">
        <v>0.32890775999999999</v>
      </c>
      <c r="D23" s="2">
        <v>28.549040000000002</v>
      </c>
      <c r="E23" s="2">
        <v>1840.4336000000001</v>
      </c>
    </row>
    <row r="24" spans="1:5" x14ac:dyDescent="0.2">
      <c r="A24" t="s">
        <v>155</v>
      </c>
      <c r="B24" t="s">
        <v>156</v>
      </c>
      <c r="C24" s="2">
        <v>0.75052704999999997</v>
      </c>
      <c r="D24" s="2">
        <v>19.910979999999999</v>
      </c>
      <c r="E24" s="2">
        <v>6271.8751000000002</v>
      </c>
    </row>
    <row r="25" spans="1:5" x14ac:dyDescent="0.2">
      <c r="A25" t="s">
        <v>359</v>
      </c>
      <c r="B25" t="s">
        <v>349</v>
      </c>
      <c r="C25" s="2">
        <v>0.19114361999999999</v>
      </c>
      <c r="D25" s="2">
        <v>23.372330000000002</v>
      </c>
      <c r="E25" s="2">
        <v>3333.0661</v>
      </c>
    </row>
    <row r="26" spans="1:5" x14ac:dyDescent="0.2">
      <c r="A26" t="s">
        <v>157</v>
      </c>
      <c r="B26" t="s">
        <v>158</v>
      </c>
      <c r="C26" s="2">
        <v>0.65425551000000004</v>
      </c>
      <c r="D26" s="2">
        <v>21.32217</v>
      </c>
      <c r="E26" s="2">
        <v>12573.956</v>
      </c>
    </row>
    <row r="27" spans="1:5" x14ac:dyDescent="0.2">
      <c r="A27" t="s">
        <v>159</v>
      </c>
      <c r="B27" t="s">
        <v>160</v>
      </c>
      <c r="C27" s="2">
        <v>-7.8036480000000005E-2</v>
      </c>
      <c r="D27" s="2">
        <v>22.654330000000002</v>
      </c>
      <c r="E27" s="2">
        <v>27161.402999999998</v>
      </c>
    </row>
    <row r="28" spans="1:5" x14ac:dyDescent="0.2">
      <c r="A28" t="s">
        <v>161</v>
      </c>
      <c r="B28" t="s">
        <v>162</v>
      </c>
      <c r="C28" s="2">
        <v>-0.94403663000000004</v>
      </c>
      <c r="D28" s="2">
        <v>12.813140000000001</v>
      </c>
      <c r="E28" s="2">
        <v>19685.493999999999</v>
      </c>
    </row>
    <row r="29" spans="1:5" x14ac:dyDescent="0.2">
      <c r="A29" t="s">
        <v>165</v>
      </c>
      <c r="B29" t="s">
        <v>166</v>
      </c>
      <c r="C29" s="2">
        <v>9.0624490000000002E-2</v>
      </c>
      <c r="D29" s="2">
        <v>32.488500000000002</v>
      </c>
      <c r="E29" s="2">
        <v>3088.5637999999999</v>
      </c>
    </row>
    <row r="30" spans="1:5" x14ac:dyDescent="0.2">
      <c r="A30" t="s">
        <v>167</v>
      </c>
      <c r="B30" t="s">
        <v>168</v>
      </c>
      <c r="C30" s="2">
        <v>-0.54611370999999997</v>
      </c>
      <c r="D30" s="2">
        <v>11.403359999999999</v>
      </c>
      <c r="E30" s="2">
        <v>56563.487999999998</v>
      </c>
    </row>
    <row r="31" spans="1:5" x14ac:dyDescent="0.2">
      <c r="A31" t="s">
        <v>169</v>
      </c>
      <c r="B31" t="s">
        <v>170</v>
      </c>
      <c r="C31" s="2">
        <v>0.28821419999999998</v>
      </c>
      <c r="D31" s="2">
        <v>22.644670000000001</v>
      </c>
      <c r="E31" s="2">
        <v>7997.7610999999997</v>
      </c>
    </row>
    <row r="32" spans="1:5" x14ac:dyDescent="0.2">
      <c r="A32" t="s">
        <v>171</v>
      </c>
      <c r="B32" t="s">
        <v>172</v>
      </c>
      <c r="C32" s="2">
        <v>-0.37066293</v>
      </c>
      <c r="D32" s="2">
        <v>28.61881</v>
      </c>
      <c r="E32" s="2">
        <v>3831.1997999999999</v>
      </c>
    </row>
    <row r="33" spans="1:5" x14ac:dyDescent="0.2">
      <c r="A33" t="s">
        <v>173</v>
      </c>
      <c r="B33" t="s">
        <v>174</v>
      </c>
      <c r="C33" s="2">
        <v>-4.266673E-2</v>
      </c>
      <c r="D33" s="2">
        <v>18.38918</v>
      </c>
      <c r="E33" s="2">
        <v>27714.657999999999</v>
      </c>
    </row>
    <row r="34" spans="1:5" x14ac:dyDescent="0.2">
      <c r="A34" t="s">
        <v>175</v>
      </c>
      <c r="B34" t="s">
        <v>176</v>
      </c>
      <c r="C34" s="2">
        <v>-0.33119156999999999</v>
      </c>
      <c r="D34" s="2">
        <v>9.5058600000000002</v>
      </c>
      <c r="E34" s="2">
        <v>19669.764999999999</v>
      </c>
    </row>
    <row r="35" spans="1:5" x14ac:dyDescent="0.2">
      <c r="A35" t="s">
        <v>177</v>
      </c>
      <c r="B35" t="s">
        <v>178</v>
      </c>
      <c r="C35" s="2">
        <v>-4.3239E-2</v>
      </c>
      <c r="D35" s="2">
        <v>28.437830000000002</v>
      </c>
      <c r="E35" s="2">
        <v>757.35041999999999</v>
      </c>
    </row>
    <row r="36" spans="1:5" x14ac:dyDescent="0.2">
      <c r="A36" t="s">
        <v>179</v>
      </c>
      <c r="B36" t="s">
        <v>180</v>
      </c>
      <c r="C36" s="2">
        <v>-1.1889247999999999</v>
      </c>
      <c r="D36" s="2">
        <v>7.4725640000000002</v>
      </c>
      <c r="E36" s="2">
        <v>45610.578999999998</v>
      </c>
    </row>
    <row r="37" spans="1:5" x14ac:dyDescent="0.2">
      <c r="A37" t="s">
        <v>181</v>
      </c>
      <c r="B37" t="s">
        <v>182</v>
      </c>
      <c r="C37" s="2">
        <v>-0.19437939000000001</v>
      </c>
      <c r="D37" s="2">
        <v>24.205300000000001</v>
      </c>
      <c r="E37" s="2">
        <v>5938.4276</v>
      </c>
    </row>
    <row r="38" spans="1:5" x14ac:dyDescent="0.2">
      <c r="A38" t="s">
        <v>183</v>
      </c>
      <c r="B38" t="s">
        <v>184</v>
      </c>
      <c r="C38" s="2">
        <v>-0.33436529999999998</v>
      </c>
      <c r="D38" s="2">
        <v>15.27999</v>
      </c>
      <c r="E38" s="2">
        <v>38276.468999999997</v>
      </c>
    </row>
    <row r="39" spans="1:5" x14ac:dyDescent="0.2">
      <c r="A39" t="s">
        <v>185</v>
      </c>
      <c r="B39" t="s">
        <v>186</v>
      </c>
      <c r="C39" s="2">
        <v>-4.9472229999999999E-2</v>
      </c>
      <c r="D39" s="2">
        <v>12.160679999999999</v>
      </c>
      <c r="E39" s="2">
        <v>47231.337</v>
      </c>
    </row>
    <row r="40" spans="1:5" x14ac:dyDescent="0.2">
      <c r="A40" t="s">
        <v>187</v>
      </c>
      <c r="B40" t="s">
        <v>188</v>
      </c>
      <c r="C40" s="2">
        <v>3.3291399999999999E-2</v>
      </c>
      <c r="D40" s="2">
        <v>13.720050000000001</v>
      </c>
      <c r="E40" s="2">
        <v>4539.0874999999996</v>
      </c>
    </row>
    <row r="41" spans="1:5" x14ac:dyDescent="0.2">
      <c r="A41" t="s">
        <v>189</v>
      </c>
      <c r="B41" t="s">
        <v>190</v>
      </c>
      <c r="C41" s="2">
        <v>0.22485359999999999</v>
      </c>
      <c r="D41" s="2">
        <v>30.385729999999999</v>
      </c>
      <c r="E41" s="2">
        <v>1970.2608</v>
      </c>
    </row>
    <row r="42" spans="1:5" x14ac:dyDescent="0.2">
      <c r="A42" t="s">
        <v>191</v>
      </c>
      <c r="B42" t="s">
        <v>192</v>
      </c>
      <c r="C42" s="2">
        <v>-0.30874913999999998</v>
      </c>
      <c r="D42" s="2">
        <v>28.998100000000001</v>
      </c>
      <c r="E42" s="2">
        <v>920.96424000000002</v>
      </c>
    </row>
    <row r="43" spans="1:5" x14ac:dyDescent="0.2">
      <c r="A43" t="s">
        <v>193</v>
      </c>
      <c r="B43" t="s">
        <v>194</v>
      </c>
      <c r="C43" s="2">
        <v>-5.9080199999999999E-2</v>
      </c>
      <c r="D43" s="2">
        <v>31.370819999999998</v>
      </c>
      <c r="E43" s="2">
        <v>692.63210000000004</v>
      </c>
    </row>
    <row r="44" spans="1:5" x14ac:dyDescent="0.2">
      <c r="A44" t="s">
        <v>195</v>
      </c>
      <c r="B44" t="s">
        <v>196</v>
      </c>
      <c r="C44" s="2">
        <v>0.19191040000000001</v>
      </c>
      <c r="D44" s="2">
        <v>30.1435</v>
      </c>
      <c r="E44" s="2">
        <v>637.54668000000004</v>
      </c>
    </row>
    <row r="45" spans="1:5" x14ac:dyDescent="0.2">
      <c r="A45" t="s">
        <v>197</v>
      </c>
      <c r="B45" t="s">
        <v>198</v>
      </c>
      <c r="C45" s="2">
        <v>-7.2437870000000001E-2</v>
      </c>
      <c r="D45" s="2">
        <v>20.203990000000001</v>
      </c>
      <c r="E45" s="2">
        <v>18639.998</v>
      </c>
    </row>
    <row r="46" spans="1:5" x14ac:dyDescent="0.2">
      <c r="A46" t="s">
        <v>199</v>
      </c>
      <c r="B46" t="s">
        <v>200</v>
      </c>
      <c r="C46" s="2">
        <v>0.74256042</v>
      </c>
      <c r="D46" s="2">
        <v>21.05255</v>
      </c>
      <c r="E46" s="2">
        <v>2457.9666999999999</v>
      </c>
    </row>
    <row r="47" spans="1:5" x14ac:dyDescent="0.2">
      <c r="A47" t="s">
        <v>201</v>
      </c>
      <c r="B47" t="s">
        <v>202</v>
      </c>
      <c r="C47" s="2">
        <v>-0.31839728</v>
      </c>
      <c r="D47" s="2">
        <v>16.788530000000002</v>
      </c>
      <c r="E47" s="2">
        <v>13519.558999999999</v>
      </c>
    </row>
    <row r="48" spans="1:5" x14ac:dyDescent="0.2">
      <c r="A48" t="s">
        <v>203</v>
      </c>
      <c r="B48" t="s">
        <v>204</v>
      </c>
      <c r="C48" s="2">
        <v>8.9386119999999999E-2</v>
      </c>
      <c r="D48" s="2">
        <v>23.248950000000001</v>
      </c>
      <c r="E48" s="2">
        <v>1414.9993999999999</v>
      </c>
    </row>
    <row r="49" spans="1:5" x14ac:dyDescent="0.2">
      <c r="A49" t="s">
        <v>205</v>
      </c>
      <c r="B49" t="s">
        <v>206</v>
      </c>
      <c r="C49" s="2">
        <v>-0.38595564999999998</v>
      </c>
      <c r="D49" s="2">
        <v>16.12199</v>
      </c>
      <c r="E49" s="2">
        <v>14379.444</v>
      </c>
    </row>
    <row r="50" spans="1:5" x14ac:dyDescent="0.2">
      <c r="A50" t="s">
        <v>207</v>
      </c>
      <c r="B50" t="s">
        <v>4</v>
      </c>
      <c r="C50" s="2">
        <v>1.9296500000000001E-2</v>
      </c>
      <c r="D50" s="2">
        <v>25.411930000000002</v>
      </c>
      <c r="E50" s="2">
        <v>3732.8670999999999</v>
      </c>
    </row>
    <row r="51" spans="1:5" x14ac:dyDescent="0.2">
      <c r="A51" t="s">
        <v>208</v>
      </c>
      <c r="B51" t="s">
        <v>209</v>
      </c>
      <c r="C51" s="2">
        <v>-0.38926452</v>
      </c>
      <c r="D51" s="2">
        <v>11.79086</v>
      </c>
      <c r="E51" s="2">
        <v>72578.437999999995</v>
      </c>
    </row>
    <row r="52" spans="1:5" x14ac:dyDescent="0.2">
      <c r="A52" t="s">
        <v>210</v>
      </c>
      <c r="B52" t="s">
        <v>211</v>
      </c>
      <c r="C52" s="2">
        <v>-5.7706420000000001E-2</v>
      </c>
      <c r="D52" s="2">
        <v>22.234999999999999</v>
      </c>
      <c r="E52" s="2">
        <v>5203.1695</v>
      </c>
    </row>
    <row r="53" spans="1:5" x14ac:dyDescent="0.2">
      <c r="A53" t="s">
        <v>360</v>
      </c>
      <c r="B53" t="s">
        <v>350</v>
      </c>
      <c r="C53" s="2">
        <v>-0.37391600000000003</v>
      </c>
      <c r="D53" s="2">
        <v>29.989280000000001</v>
      </c>
      <c r="E53" s="2">
        <v>4975.3810000000003</v>
      </c>
    </row>
    <row r="54" spans="1:5" x14ac:dyDescent="0.2">
      <c r="A54" t="s">
        <v>212</v>
      </c>
      <c r="B54" t="s">
        <v>213</v>
      </c>
      <c r="C54" s="2">
        <v>-2.0980210000000001</v>
      </c>
      <c r="D54" s="2">
        <v>3.3398330000000001</v>
      </c>
      <c r="E54" s="2">
        <v>57699.459000000003</v>
      </c>
    </row>
    <row r="55" spans="1:5" x14ac:dyDescent="0.2">
      <c r="A55" t="s">
        <v>216</v>
      </c>
      <c r="B55" t="s">
        <v>217</v>
      </c>
      <c r="C55" s="2">
        <v>1.248261E-2</v>
      </c>
      <c r="D55" s="2">
        <v>17.599329999999998</v>
      </c>
      <c r="E55" s="2">
        <v>31580.776999999998</v>
      </c>
    </row>
    <row r="56" spans="1:5" x14ac:dyDescent="0.2">
      <c r="A56" t="s">
        <v>218</v>
      </c>
      <c r="B56" t="s">
        <v>219</v>
      </c>
      <c r="C56" s="2">
        <v>-0.33672640999999998</v>
      </c>
      <c r="D56" s="2">
        <v>26.855550000000001</v>
      </c>
      <c r="E56" s="2">
        <v>4109.7524000000003</v>
      </c>
    </row>
    <row r="57" spans="1:5" x14ac:dyDescent="0.2">
      <c r="A57" t="s">
        <v>222</v>
      </c>
      <c r="B57" t="s">
        <v>223</v>
      </c>
      <c r="C57" s="2">
        <v>-1.0396916</v>
      </c>
      <c r="D57" s="2">
        <v>10.751329999999999</v>
      </c>
      <c r="E57" s="2">
        <v>11053.361999999999</v>
      </c>
    </row>
    <row r="58" spans="1:5" x14ac:dyDescent="0.2">
      <c r="A58" t="s">
        <v>224</v>
      </c>
      <c r="B58" t="s">
        <v>225</v>
      </c>
      <c r="C58" s="2">
        <v>7.3841599999999999E-3</v>
      </c>
      <c r="D58" s="2">
        <v>27.308900000000001</v>
      </c>
      <c r="E58" s="2">
        <v>1559.2437</v>
      </c>
    </row>
    <row r="59" spans="1:5" x14ac:dyDescent="0.2">
      <c r="A59" t="s">
        <v>226</v>
      </c>
      <c r="B59" t="s">
        <v>227</v>
      </c>
      <c r="C59" s="2">
        <v>-1.3025717000000001</v>
      </c>
      <c r="D59" s="2">
        <v>4.8061680000000004</v>
      </c>
      <c r="E59" s="2">
        <v>1197.6107</v>
      </c>
    </row>
    <row r="60" spans="1:5" x14ac:dyDescent="0.2">
      <c r="A60" t="s">
        <v>228</v>
      </c>
      <c r="B60" t="s">
        <v>229</v>
      </c>
      <c r="C60" s="2">
        <v>-2.1001010000000001E-2</v>
      </c>
      <c r="D60" s="2">
        <v>24.454619999999998</v>
      </c>
      <c r="E60" s="2">
        <v>2483.1615999999999</v>
      </c>
    </row>
    <row r="61" spans="1:5" x14ac:dyDescent="0.2">
      <c r="A61" t="s">
        <v>230</v>
      </c>
      <c r="B61" t="s">
        <v>231</v>
      </c>
      <c r="C61" s="2">
        <v>-0.37103936999999998</v>
      </c>
      <c r="D61" s="2">
        <v>19.70533</v>
      </c>
      <c r="E61" s="2">
        <v>7345.1341000000002</v>
      </c>
    </row>
    <row r="62" spans="1:5" x14ac:dyDescent="0.2">
      <c r="A62" t="s">
        <v>232</v>
      </c>
      <c r="B62" t="s">
        <v>233</v>
      </c>
      <c r="C62" s="2">
        <v>-4.2390320000000002E-2</v>
      </c>
      <c r="D62" s="2">
        <v>27.916689999999999</v>
      </c>
      <c r="E62" s="2">
        <v>4157.2839000000004</v>
      </c>
    </row>
    <row r="63" spans="1:5" x14ac:dyDescent="0.2">
      <c r="A63" t="s">
        <v>234</v>
      </c>
      <c r="B63" t="s">
        <v>235</v>
      </c>
      <c r="C63" s="2">
        <v>0.28346937999999999</v>
      </c>
      <c r="D63" s="2">
        <v>18.044530000000002</v>
      </c>
      <c r="E63" s="2">
        <v>1109.2559000000001</v>
      </c>
    </row>
    <row r="64" spans="1:5" x14ac:dyDescent="0.2">
      <c r="A64" t="s">
        <v>236</v>
      </c>
      <c r="B64" t="s">
        <v>237</v>
      </c>
      <c r="C64" s="2">
        <v>0.23234799</v>
      </c>
      <c r="D64" s="2">
        <v>11.071440000000001</v>
      </c>
      <c r="E64" s="2">
        <v>16436.973999999998</v>
      </c>
    </row>
    <row r="65" spans="1:5" x14ac:dyDescent="0.2">
      <c r="A65" t="s">
        <v>238</v>
      </c>
      <c r="B65" t="s">
        <v>239</v>
      </c>
      <c r="C65" s="2">
        <v>9.2939519999999998E-2</v>
      </c>
      <c r="D65" s="2">
        <v>12.990589999999999</v>
      </c>
      <c r="E65" s="2">
        <v>107158.74</v>
      </c>
    </row>
    <row r="66" spans="1:5" x14ac:dyDescent="0.2">
      <c r="A66" t="s">
        <v>240</v>
      </c>
      <c r="B66" t="s">
        <v>241</v>
      </c>
      <c r="C66" s="2">
        <v>8.5279480000000005E-2</v>
      </c>
      <c r="D66" s="2">
        <v>10.35524</v>
      </c>
      <c r="E66" s="2">
        <v>15552.02</v>
      </c>
    </row>
    <row r="67" spans="1:5" x14ac:dyDescent="0.2">
      <c r="A67" t="s">
        <v>242</v>
      </c>
      <c r="B67" t="s">
        <v>243</v>
      </c>
      <c r="C67" s="2">
        <v>-1.8748250000000001E-2</v>
      </c>
      <c r="D67" s="2">
        <v>23.190940000000001</v>
      </c>
      <c r="E67" s="2">
        <v>3004.6322</v>
      </c>
    </row>
    <row r="68" spans="1:5" x14ac:dyDescent="0.2">
      <c r="A68" t="s">
        <v>244</v>
      </c>
      <c r="B68" t="s">
        <v>245</v>
      </c>
      <c r="C68" s="2">
        <v>-0.81921224000000004</v>
      </c>
      <c r="D68" s="2">
        <v>15.095940000000001</v>
      </c>
      <c r="E68" s="2">
        <v>3260.5273999999999</v>
      </c>
    </row>
    <row r="69" spans="1:5" x14ac:dyDescent="0.2">
      <c r="A69" t="s">
        <v>246</v>
      </c>
      <c r="B69" t="s">
        <v>247</v>
      </c>
      <c r="C69" s="2">
        <v>2.4E-2</v>
      </c>
      <c r="D69" s="2">
        <v>26.20157</v>
      </c>
      <c r="E69" s="2">
        <v>480.88889</v>
      </c>
    </row>
    <row r="70" spans="1:5" x14ac:dyDescent="0.2">
      <c r="A70" t="s">
        <v>248</v>
      </c>
      <c r="B70" t="s">
        <v>249</v>
      </c>
      <c r="C70" s="2">
        <v>-0.39347535</v>
      </c>
      <c r="D70" s="2"/>
      <c r="E70" s="2"/>
    </row>
    <row r="71" spans="1:5" x14ac:dyDescent="0.2">
      <c r="A71" t="s">
        <v>250</v>
      </c>
      <c r="B71" t="s">
        <v>251</v>
      </c>
      <c r="C71" s="2">
        <v>0.60833340999999996</v>
      </c>
      <c r="D71" s="2">
        <v>16.492149999999999</v>
      </c>
      <c r="E71" s="2">
        <v>9945.7767999999996</v>
      </c>
    </row>
    <row r="72" spans="1:5" x14ac:dyDescent="0.2">
      <c r="A72" t="s">
        <v>252</v>
      </c>
      <c r="B72" t="s">
        <v>253</v>
      </c>
      <c r="C72" s="2">
        <v>-0.28484651999999999</v>
      </c>
      <c r="D72" s="2">
        <v>17.561910000000001</v>
      </c>
      <c r="E72" s="2">
        <v>5184.6944999999996</v>
      </c>
    </row>
    <row r="73" spans="1:5" x14ac:dyDescent="0.2">
      <c r="A73" t="s">
        <v>254</v>
      </c>
      <c r="B73" t="s">
        <v>255</v>
      </c>
      <c r="C73" s="2">
        <v>-0.17507505000000001</v>
      </c>
      <c r="D73" s="2">
        <v>33.249989999999997</v>
      </c>
      <c r="E73" s="2">
        <v>802.03362000000004</v>
      </c>
    </row>
    <row r="74" spans="1:5" x14ac:dyDescent="0.2">
      <c r="A74" t="s">
        <v>256</v>
      </c>
      <c r="B74" t="s">
        <v>257</v>
      </c>
      <c r="C74" s="2">
        <v>-0.23935290000000001</v>
      </c>
      <c r="D74" s="2">
        <v>19.938549999999999</v>
      </c>
      <c r="E74" s="2">
        <v>27090.932000000001</v>
      </c>
    </row>
    <row r="75" spans="1:5" x14ac:dyDescent="0.2">
      <c r="A75" t="s">
        <v>258</v>
      </c>
      <c r="B75" t="s">
        <v>259</v>
      </c>
      <c r="C75" s="2">
        <v>-0.26212384999999999</v>
      </c>
      <c r="D75" s="2">
        <v>26.580390000000001</v>
      </c>
      <c r="E75" s="2">
        <v>1459.643</v>
      </c>
    </row>
    <row r="76" spans="1:5" x14ac:dyDescent="0.2">
      <c r="A76" t="s">
        <v>260</v>
      </c>
      <c r="B76" t="s">
        <v>261</v>
      </c>
      <c r="C76" s="2">
        <v>0.14440448</v>
      </c>
      <c r="D76" s="2">
        <v>15.454829999999999</v>
      </c>
      <c r="E76" s="2">
        <v>7378.5002999999997</v>
      </c>
    </row>
    <row r="77" spans="1:5" x14ac:dyDescent="0.2">
      <c r="A77" t="s">
        <v>262</v>
      </c>
      <c r="B77" t="s">
        <v>263</v>
      </c>
      <c r="C77" s="2">
        <v>-1.1940744000000001</v>
      </c>
      <c r="D77" s="2">
        <v>2.568524</v>
      </c>
      <c r="E77" s="2">
        <v>4233.9727000000003</v>
      </c>
    </row>
    <row r="78" spans="1:5" x14ac:dyDescent="0.2">
      <c r="A78" t="s">
        <v>264</v>
      </c>
      <c r="B78" t="s">
        <v>265</v>
      </c>
      <c r="C78" s="2">
        <v>0.39517723999999999</v>
      </c>
      <c r="D78" s="2">
        <v>28.2332</v>
      </c>
      <c r="E78" s="2">
        <v>602.53011000000004</v>
      </c>
    </row>
    <row r="79" spans="1:5" x14ac:dyDescent="0.2">
      <c r="A79" t="s">
        <v>266</v>
      </c>
      <c r="B79" t="s">
        <v>267</v>
      </c>
      <c r="C79" s="2">
        <v>-0.10895806</v>
      </c>
      <c r="D79" s="2">
        <v>32.121220000000001</v>
      </c>
      <c r="E79" s="2">
        <v>1575.3122000000001</v>
      </c>
    </row>
    <row r="80" spans="1:5" x14ac:dyDescent="0.2">
      <c r="A80" t="s">
        <v>268</v>
      </c>
      <c r="B80" t="s">
        <v>269</v>
      </c>
      <c r="C80" s="2">
        <v>2.2992729999999999E-2</v>
      </c>
      <c r="D80" s="2">
        <v>24.74736</v>
      </c>
      <c r="E80" s="2">
        <v>10335.849</v>
      </c>
    </row>
    <row r="81" spans="1:5" x14ac:dyDescent="0.2">
      <c r="A81" t="s">
        <v>270</v>
      </c>
      <c r="B81" t="s">
        <v>271</v>
      </c>
      <c r="C81" s="2">
        <v>-0.11573223000000001</v>
      </c>
      <c r="D81" s="2">
        <v>26.81908</v>
      </c>
      <c r="E81" s="2">
        <v>390.84071</v>
      </c>
    </row>
    <row r="82" spans="1:5" x14ac:dyDescent="0.2">
      <c r="A82" t="s">
        <v>272</v>
      </c>
      <c r="B82" t="s">
        <v>273</v>
      </c>
      <c r="C82" s="2">
        <v>0.12213768999999999</v>
      </c>
      <c r="D82" s="2">
        <v>27.073440000000002</v>
      </c>
      <c r="E82" s="2">
        <v>11075.575999999999</v>
      </c>
    </row>
    <row r="83" spans="1:5" x14ac:dyDescent="0.2">
      <c r="A83" t="s">
        <v>274</v>
      </c>
      <c r="B83" t="s">
        <v>275</v>
      </c>
      <c r="C83" s="2">
        <v>0.71045988000000004</v>
      </c>
      <c r="D83" s="2">
        <v>29.297720000000002</v>
      </c>
      <c r="E83" s="2">
        <v>4632.3909000000003</v>
      </c>
    </row>
    <row r="84" spans="1:5" x14ac:dyDescent="0.2">
      <c r="A84" t="s">
        <v>361</v>
      </c>
      <c r="B84" t="s">
        <v>351</v>
      </c>
      <c r="C84" s="2">
        <v>-0.12893805999999999</v>
      </c>
      <c r="D84" s="2">
        <v>34.116010000000003</v>
      </c>
      <c r="E84" s="2">
        <v>513.62679000000003</v>
      </c>
    </row>
    <row r="85" spans="1:5" x14ac:dyDescent="0.2">
      <c r="A85" t="s">
        <v>276</v>
      </c>
      <c r="B85" t="s">
        <v>277</v>
      </c>
      <c r="C85" s="2">
        <v>-0.23055413</v>
      </c>
      <c r="D85" s="2">
        <v>31.054860000000001</v>
      </c>
      <c r="E85" s="2">
        <v>2512.1923999999999</v>
      </c>
    </row>
    <row r="86" spans="1:5" x14ac:dyDescent="0.2">
      <c r="A86" t="s">
        <v>278</v>
      </c>
      <c r="B86" t="s">
        <v>279</v>
      </c>
      <c r="C86" s="2">
        <v>-0.44879760000000002</v>
      </c>
      <c r="D86" s="2">
        <v>13.753629999999999</v>
      </c>
      <c r="E86" s="2">
        <v>47807.589</v>
      </c>
    </row>
    <row r="87" spans="1:5" x14ac:dyDescent="0.2">
      <c r="A87" t="s">
        <v>280</v>
      </c>
      <c r="B87" t="s">
        <v>281</v>
      </c>
      <c r="C87" s="2">
        <v>-1.3471694999999999</v>
      </c>
      <c r="D87" s="2">
        <v>4.7148899999999996</v>
      </c>
      <c r="E87" s="2">
        <v>75953.581999999995</v>
      </c>
    </row>
    <row r="88" spans="1:5" x14ac:dyDescent="0.2">
      <c r="A88" t="s">
        <v>282</v>
      </c>
      <c r="B88" t="s">
        <v>283</v>
      </c>
      <c r="C88" s="2">
        <v>-0.26521552999999998</v>
      </c>
      <c r="D88" s="2">
        <v>17.75873</v>
      </c>
      <c r="E88" s="2">
        <v>1021.3319</v>
      </c>
    </row>
    <row r="89" spans="1:5" x14ac:dyDescent="0.2">
      <c r="A89" t="s">
        <v>284</v>
      </c>
      <c r="B89" t="s">
        <v>285</v>
      </c>
      <c r="C89" s="2">
        <v>-0.32021054999999998</v>
      </c>
      <c r="D89" s="2">
        <v>27.372879999999999</v>
      </c>
      <c r="E89" s="2">
        <v>1502.8913</v>
      </c>
    </row>
    <row r="90" spans="1:5" x14ac:dyDescent="0.2">
      <c r="A90" t="s">
        <v>286</v>
      </c>
      <c r="B90" t="s">
        <v>287</v>
      </c>
      <c r="C90" s="2">
        <v>0.55081776999999998</v>
      </c>
      <c r="D90" s="2">
        <v>23.749490000000002</v>
      </c>
      <c r="E90" s="2">
        <v>14880.663</v>
      </c>
    </row>
    <row r="91" spans="1:5" x14ac:dyDescent="0.2">
      <c r="A91" t="s">
        <v>288</v>
      </c>
      <c r="B91" t="s">
        <v>289</v>
      </c>
      <c r="C91" s="2">
        <v>0.24534346000000001</v>
      </c>
      <c r="D91" s="2">
        <v>13.556749999999999</v>
      </c>
      <c r="E91" s="2">
        <v>6574.3167000000003</v>
      </c>
    </row>
    <row r="92" spans="1:5" x14ac:dyDescent="0.2">
      <c r="A92" t="s">
        <v>290</v>
      </c>
      <c r="B92" t="s">
        <v>291</v>
      </c>
      <c r="C92" s="2">
        <v>0.22387067999999999</v>
      </c>
      <c r="D92" s="2">
        <v>25.993790000000001</v>
      </c>
      <c r="E92" s="2">
        <v>3500.9337999999998</v>
      </c>
    </row>
    <row r="93" spans="1:5" x14ac:dyDescent="0.2">
      <c r="A93" t="s">
        <v>362</v>
      </c>
      <c r="B93" t="s">
        <v>352</v>
      </c>
      <c r="C93" s="2">
        <v>0.49661565000000002</v>
      </c>
      <c r="D93" s="2">
        <v>22.51877</v>
      </c>
      <c r="E93" s="2">
        <v>2749.1178</v>
      </c>
    </row>
    <row r="94" spans="1:5" x14ac:dyDescent="0.2">
      <c r="A94" t="s">
        <v>292</v>
      </c>
      <c r="B94" t="s">
        <v>293</v>
      </c>
      <c r="C94" s="2">
        <v>-0.52183798000000003</v>
      </c>
      <c r="D94" s="2">
        <v>13.005929999999999</v>
      </c>
      <c r="E94" s="2">
        <v>14332.915999999999</v>
      </c>
    </row>
    <row r="95" spans="1:5" x14ac:dyDescent="0.2">
      <c r="A95" t="s">
        <v>294</v>
      </c>
      <c r="B95" t="s">
        <v>295</v>
      </c>
      <c r="C95" s="2">
        <v>-4.5048890000000001E-2</v>
      </c>
      <c r="D95" s="2">
        <v>19.055610000000001</v>
      </c>
      <c r="E95" s="2">
        <v>21049.151000000002</v>
      </c>
    </row>
    <row r="96" spans="1:5" x14ac:dyDescent="0.2">
      <c r="A96" t="s">
        <v>296</v>
      </c>
      <c r="B96" t="s">
        <v>297</v>
      </c>
      <c r="C96" s="2">
        <v>0.55824565999999998</v>
      </c>
      <c r="D96" s="2">
        <v>21.170729999999999</v>
      </c>
      <c r="E96" s="2">
        <v>5871.2812999999996</v>
      </c>
    </row>
    <row r="97" spans="1:5" x14ac:dyDescent="0.2">
      <c r="A97" t="s">
        <v>363</v>
      </c>
      <c r="B97" t="s">
        <v>353</v>
      </c>
      <c r="C97" s="2">
        <v>-0.28188020000000003</v>
      </c>
      <c r="D97" s="2">
        <v>26.26267</v>
      </c>
      <c r="E97" s="2">
        <v>3417.7944000000002</v>
      </c>
    </row>
    <row r="98" spans="1:5" x14ac:dyDescent="0.2">
      <c r="A98" t="s">
        <v>298</v>
      </c>
      <c r="B98" t="s">
        <v>299</v>
      </c>
      <c r="C98" s="2">
        <v>2.0532100000000001E-2</v>
      </c>
      <c r="D98" s="2">
        <v>15.292770000000001</v>
      </c>
      <c r="E98" s="2">
        <v>10714.014999999999</v>
      </c>
    </row>
    <row r="99" spans="1:5" x14ac:dyDescent="0.2">
      <c r="A99" t="s">
        <v>300</v>
      </c>
      <c r="B99" t="s">
        <v>301</v>
      </c>
      <c r="C99" s="2">
        <v>-0.31106496</v>
      </c>
      <c r="D99" s="2">
        <v>7.5072570000000001</v>
      </c>
      <c r="E99" s="2">
        <v>9739.8999000000003</v>
      </c>
    </row>
    <row r="100" spans="1:5" x14ac:dyDescent="0.2">
      <c r="A100" t="s">
        <v>302</v>
      </c>
      <c r="B100" t="s">
        <v>303</v>
      </c>
      <c r="C100" s="2">
        <v>8.2025210000000001E-2</v>
      </c>
      <c r="D100" s="2">
        <v>24.771249999999998</v>
      </c>
      <c r="E100" s="2">
        <v>830.42934000000002</v>
      </c>
    </row>
    <row r="101" spans="1:5" x14ac:dyDescent="0.2">
      <c r="A101" t="s">
        <v>304</v>
      </c>
      <c r="B101" t="s">
        <v>305</v>
      </c>
      <c r="C101" s="2">
        <v>4.7452939999999999E-2</v>
      </c>
      <c r="D101" s="2">
        <v>34.705509999999997</v>
      </c>
      <c r="E101" s="2">
        <v>1254.8590999999999</v>
      </c>
    </row>
    <row r="102" spans="1:5" x14ac:dyDescent="0.2">
      <c r="A102" t="s">
        <v>306</v>
      </c>
      <c r="B102" t="s">
        <v>307</v>
      </c>
      <c r="C102" s="2">
        <v>-0.20296336000000001</v>
      </c>
      <c r="D102" s="2">
        <v>31.51718</v>
      </c>
      <c r="E102" s="2">
        <v>1360.2393</v>
      </c>
    </row>
    <row r="103" spans="1:5" x14ac:dyDescent="0.2">
      <c r="A103" t="s">
        <v>308</v>
      </c>
      <c r="B103" t="s">
        <v>309</v>
      </c>
      <c r="C103" s="2">
        <v>-3.8484730000000002E-2</v>
      </c>
      <c r="D103" s="2">
        <v>25.674520000000001</v>
      </c>
      <c r="E103" s="2">
        <v>2321.136</v>
      </c>
    </row>
    <row r="104" spans="1:5" x14ac:dyDescent="0.2">
      <c r="A104" t="s">
        <v>364</v>
      </c>
      <c r="B104" t="s">
        <v>354</v>
      </c>
      <c r="C104" s="2">
        <v>-0.22173519</v>
      </c>
      <c r="D104" s="2">
        <v>28.448589999999999</v>
      </c>
      <c r="E104" s="2">
        <v>630.48245999999995</v>
      </c>
    </row>
    <row r="105" spans="1:5" x14ac:dyDescent="0.2">
      <c r="A105" t="s">
        <v>310</v>
      </c>
      <c r="B105" t="s">
        <v>311</v>
      </c>
      <c r="C105" s="2">
        <v>0.17385117999999999</v>
      </c>
      <c r="D105" s="2">
        <v>23.31484</v>
      </c>
      <c r="E105" s="2">
        <v>3920.5263</v>
      </c>
    </row>
    <row r="106" spans="1:5" x14ac:dyDescent="0.2">
      <c r="A106" t="s">
        <v>312</v>
      </c>
      <c r="B106" t="s">
        <v>313</v>
      </c>
      <c r="C106" s="2">
        <v>-0.89763062000000005</v>
      </c>
      <c r="D106" s="2">
        <v>13.82987</v>
      </c>
      <c r="E106" s="2">
        <v>17723.021000000001</v>
      </c>
    </row>
    <row r="107" spans="1:5" x14ac:dyDescent="0.2">
      <c r="A107" t="s">
        <v>314</v>
      </c>
      <c r="B107" t="s">
        <v>315</v>
      </c>
      <c r="C107" s="2">
        <v>-0.82926922000000003</v>
      </c>
      <c r="D107" s="2">
        <v>14.9457</v>
      </c>
      <c r="E107" s="2">
        <v>23466.931</v>
      </c>
    </row>
    <row r="108" spans="1:5" x14ac:dyDescent="0.2">
      <c r="A108" t="s">
        <v>316</v>
      </c>
      <c r="B108" t="s">
        <v>317</v>
      </c>
      <c r="C108" s="2">
        <v>-0.63744449000000003</v>
      </c>
      <c r="D108" s="2">
        <v>8.7105759999999997</v>
      </c>
      <c r="E108" s="2">
        <v>52983.006999999998</v>
      </c>
    </row>
    <row r="109" spans="1:5" x14ac:dyDescent="0.2">
      <c r="A109" t="s">
        <v>365</v>
      </c>
      <c r="B109" t="s">
        <v>355</v>
      </c>
      <c r="C109" s="2">
        <v>0.63814598</v>
      </c>
      <c r="D109" s="2">
        <v>25.87452</v>
      </c>
      <c r="E109" s="2">
        <v>3774.6212</v>
      </c>
    </row>
    <row r="110" spans="1:5" x14ac:dyDescent="0.2">
      <c r="A110" t="s">
        <v>318</v>
      </c>
      <c r="B110" t="s">
        <v>319</v>
      </c>
      <c r="C110" s="2">
        <v>8.5616400000000006E-3</v>
      </c>
      <c r="D110" s="2">
        <v>30.582560000000001</v>
      </c>
      <c r="E110" s="2">
        <v>612.78575000000001</v>
      </c>
    </row>
    <row r="111" spans="1:5" x14ac:dyDescent="0.2">
      <c r="A111" t="s">
        <v>320</v>
      </c>
      <c r="B111" t="s">
        <v>321</v>
      </c>
      <c r="C111" s="2">
        <v>-0.19042202999999999</v>
      </c>
      <c r="D111" s="2">
        <v>28.08934</v>
      </c>
      <c r="E111" s="2">
        <v>6489.2572</v>
      </c>
    </row>
    <row r="112" spans="1:5" x14ac:dyDescent="0.2">
      <c r="A112" t="s">
        <v>366</v>
      </c>
      <c r="B112" t="s">
        <v>356</v>
      </c>
      <c r="C112" s="2">
        <v>-0.20512030000000001</v>
      </c>
      <c r="D112" s="2">
        <v>9.6179380000000005</v>
      </c>
      <c r="E112" s="2">
        <v>1119.6428000000001</v>
      </c>
    </row>
    <row r="113" spans="1:5" x14ac:dyDescent="0.2">
      <c r="A113" t="s">
        <v>367</v>
      </c>
      <c r="B113" t="s">
        <v>357</v>
      </c>
      <c r="C113" s="2">
        <v>-0.28738262999999997</v>
      </c>
      <c r="D113" s="2">
        <v>23.409759999999999</v>
      </c>
      <c r="E113" s="2">
        <v>1251.4266</v>
      </c>
    </row>
    <row r="114" spans="1:5" x14ac:dyDescent="0.2">
      <c r="A114" t="s">
        <v>322</v>
      </c>
      <c r="B114" t="s">
        <v>323</v>
      </c>
      <c r="C114" s="2">
        <v>0.14292874</v>
      </c>
      <c r="D114" s="2">
        <v>24.187809999999999</v>
      </c>
      <c r="E114" s="2">
        <v>4676.7781999999997</v>
      </c>
    </row>
    <row r="115" spans="1:5" x14ac:dyDescent="0.2">
      <c r="A115" t="s">
        <v>324</v>
      </c>
      <c r="B115" t="s">
        <v>325</v>
      </c>
      <c r="C115" s="2">
        <v>-0.33263970999999998</v>
      </c>
      <c r="D115" s="2">
        <v>24.036460000000002</v>
      </c>
      <c r="E115" s="2">
        <v>4195.2510000000002</v>
      </c>
    </row>
    <row r="116" spans="1:5" x14ac:dyDescent="0.2">
      <c r="A116" t="s">
        <v>326</v>
      </c>
      <c r="B116" t="s">
        <v>327</v>
      </c>
      <c r="C116" s="2">
        <v>-3.3610319999999999E-2</v>
      </c>
      <c r="D116" s="2">
        <v>27.401579999999999</v>
      </c>
      <c r="E116" s="2">
        <v>1042.9876999999999</v>
      </c>
    </row>
    <row r="117" spans="1:5" x14ac:dyDescent="0.2">
      <c r="A117" t="s">
        <v>328</v>
      </c>
      <c r="B117" t="s">
        <v>329</v>
      </c>
      <c r="C117" s="2">
        <v>0.16022033999999999</v>
      </c>
      <c r="D117" s="2">
        <v>27.38466</v>
      </c>
      <c r="E117" s="2">
        <v>870.70874000000003</v>
      </c>
    </row>
    <row r="118" spans="1:5" x14ac:dyDescent="0.2">
      <c r="A118" t="s">
        <v>330</v>
      </c>
      <c r="B118" t="s">
        <v>331</v>
      </c>
      <c r="C118" s="2">
        <v>-0.87899866999999998</v>
      </c>
      <c r="D118" s="2">
        <v>13.75441</v>
      </c>
      <c r="E118" s="2">
        <v>2336.9762999999998</v>
      </c>
    </row>
    <row r="119" spans="1:5" x14ac:dyDescent="0.2">
      <c r="A119" t="s">
        <v>334</v>
      </c>
      <c r="B119" t="s">
        <v>335</v>
      </c>
      <c r="C119" s="2">
        <v>-2.463771E-2</v>
      </c>
      <c r="D119" s="2">
        <v>25.259409999999999</v>
      </c>
      <c r="E119" s="2">
        <v>2456.7912000000001</v>
      </c>
    </row>
    <row r="120" spans="1:5" x14ac:dyDescent="0.2">
      <c r="A120" t="s">
        <v>336</v>
      </c>
      <c r="B120" t="s">
        <v>337</v>
      </c>
      <c r="C120" s="2">
        <v>-0.10093978000000001</v>
      </c>
      <c r="D120" s="2">
        <v>25.41976</v>
      </c>
      <c r="E120" s="2">
        <v>2860.0124999999998</v>
      </c>
    </row>
    <row r="121" spans="1:5" x14ac:dyDescent="0.2">
      <c r="A121" t="s">
        <v>338</v>
      </c>
      <c r="B121" t="s">
        <v>339</v>
      </c>
      <c r="C121" s="2">
        <v>1.0282007</v>
      </c>
      <c r="D121" s="2">
        <v>24.392379999999999</v>
      </c>
      <c r="E121" s="2">
        <v>6199.8917000000001</v>
      </c>
    </row>
    <row r="122" spans="1:5" x14ac:dyDescent="0.2">
      <c r="A122" t="s">
        <v>340</v>
      </c>
      <c r="B122" t="s">
        <v>341</v>
      </c>
      <c r="C122" s="2">
        <v>0.46198907</v>
      </c>
      <c r="D122" s="2">
        <v>27.783059999999999</v>
      </c>
      <c r="E122" s="2">
        <v>1368.6017999999999</v>
      </c>
    </row>
    <row r="123" spans="1:5" x14ac:dyDescent="0.2">
      <c r="A123" t="s">
        <v>342</v>
      </c>
      <c r="B123" t="s">
        <v>343</v>
      </c>
      <c r="C123" s="2">
        <v>0.26363709000000002</v>
      </c>
      <c r="D123" s="2">
        <v>27.059139999999999</v>
      </c>
      <c r="E123" s="2">
        <v>1529.0264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Fig_1</vt:lpstr>
      <vt:lpstr>Fig_2</vt:lpstr>
      <vt:lpstr>Fig_3</vt:lpstr>
      <vt:lpstr>Fig_4a</vt:lpstr>
      <vt:lpstr>Fig_4b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Trinh</dc:creator>
  <cp:lastModifiedBy>Anh Trinh</cp:lastModifiedBy>
  <dcterms:created xsi:type="dcterms:W3CDTF">2025-11-10T02:16:51Z</dcterms:created>
  <dcterms:modified xsi:type="dcterms:W3CDTF">2025-11-10T03:46:47Z</dcterms:modified>
</cp:coreProperties>
</file>